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 1, 2,3,4,5" sheetId="1" r:id="rId4"/>
    <sheet state="visible" name="Bilan" sheetId="2" r:id="rId5"/>
    <sheet state="visible" name="Cours Moyen" sheetId="3" r:id="rId6"/>
  </sheets>
  <definedNames/>
  <calcPr/>
</workbook>
</file>

<file path=xl/sharedStrings.xml><?xml version="1.0" encoding="utf-8"?>
<sst xmlns="http://schemas.openxmlformats.org/spreadsheetml/2006/main" count="107" uniqueCount="104">
  <si>
    <t>Les données sont tirées des rapports annuels du groupe Bonduelle (en milliers d'euros)</t>
  </si>
  <si>
    <t>QUESTION 1</t>
  </si>
  <si>
    <t>Résultat net</t>
  </si>
  <si>
    <t>Résultat global</t>
  </si>
  <si>
    <t>Ecart (%)</t>
  </si>
  <si>
    <t>QUESTION 2</t>
  </si>
  <si>
    <t>Chiffre Affaires (HT)</t>
  </si>
  <si>
    <t>Résultat d'exploitation</t>
  </si>
  <si>
    <t>La marge brute</t>
  </si>
  <si>
    <t>Marge Nette</t>
  </si>
  <si>
    <t>QUESTION 3</t>
  </si>
  <si>
    <t>Bénéfice Net</t>
  </si>
  <si>
    <t>Capitaux propres</t>
  </si>
  <si>
    <t>Total de l'actif</t>
  </si>
  <si>
    <t>ROA</t>
  </si>
  <si>
    <t>ROE</t>
  </si>
  <si>
    <t>TMN</t>
  </si>
  <si>
    <t>Créances clients</t>
  </si>
  <si>
    <t>Stocks</t>
  </si>
  <si>
    <t>Achats concernés TTC</t>
  </si>
  <si>
    <t>Dette fournisseurs</t>
  </si>
  <si>
    <t>Charges externes</t>
  </si>
  <si>
    <t xml:space="preserve">Achats </t>
  </si>
  <si>
    <t>Délai clients</t>
  </si>
  <si>
    <t>Délai stocks</t>
  </si>
  <si>
    <t>Délai fournisseurs</t>
  </si>
  <si>
    <t>QUESTION 4</t>
  </si>
  <si>
    <t>Couts de biens vendus</t>
  </si>
  <si>
    <t>Valeur ajoutée</t>
  </si>
  <si>
    <t>EBE</t>
  </si>
  <si>
    <t>Marge opérationnelle</t>
  </si>
  <si>
    <t>Total de l'actif moyen</t>
  </si>
  <si>
    <t>Rotation de l'actif</t>
  </si>
  <si>
    <t>Bêta</t>
  </si>
  <si>
    <t>Rm</t>
  </si>
  <si>
    <t>Rf</t>
  </si>
  <si>
    <t>taux d'imposition IS</t>
  </si>
  <si>
    <t>Levier financier</t>
  </si>
  <si>
    <t>QUESTION 5</t>
  </si>
  <si>
    <t>AE</t>
  </si>
  <si>
    <t>CMPC</t>
  </si>
  <si>
    <t>RAE</t>
  </si>
  <si>
    <t>VAE</t>
  </si>
  <si>
    <t>Actions en circulation</t>
  </si>
  <si>
    <t>Valeur action fin exercice</t>
  </si>
  <si>
    <t>Capitalisation boursière</t>
  </si>
  <si>
    <t>Valeur de marché de la dette</t>
  </si>
  <si>
    <t>MVA</t>
  </si>
  <si>
    <t>BILAN CONSOLIDE EN k €</t>
  </si>
  <si>
    <t>ACTIF</t>
  </si>
  <si>
    <t>PASSIF</t>
  </si>
  <si>
    <t>Emploi stable</t>
  </si>
  <si>
    <t>Actif immobilisé</t>
  </si>
  <si>
    <t>Ressources Stables</t>
  </si>
  <si>
    <t>Immobilisations incorporelles :</t>
  </si>
  <si>
    <t>Capital</t>
  </si>
  <si>
    <t>Goodwill</t>
  </si>
  <si>
    <t>Primes</t>
  </si>
  <si>
    <t>Autres immobilisations incorporelles</t>
  </si>
  <si>
    <t>Réserves consolidées</t>
  </si>
  <si>
    <t>Immobilisations corporelles :</t>
  </si>
  <si>
    <t>Capitaux propres (Part du Groupe)</t>
  </si>
  <si>
    <t>Droits utilisation</t>
  </si>
  <si>
    <t>Titres mis en équivalence</t>
  </si>
  <si>
    <t>Patricipations ne donnant pas le contrôle</t>
  </si>
  <si>
    <t>Autres actifs financiers non courants</t>
  </si>
  <si>
    <t>Total I</t>
  </si>
  <si>
    <t>Autres actifs non courants</t>
  </si>
  <si>
    <t>Passif non courant</t>
  </si>
  <si>
    <t>Provisions</t>
  </si>
  <si>
    <t>Actifs d’impôts différés</t>
  </si>
  <si>
    <t>Engagements envers le personnel</t>
  </si>
  <si>
    <t>Dettes financières</t>
  </si>
  <si>
    <t>Passif d'impôts différés</t>
  </si>
  <si>
    <t>Dettes location</t>
  </si>
  <si>
    <t>Autres passifs non courants</t>
  </si>
  <si>
    <t>Actif Circulant</t>
  </si>
  <si>
    <t>Actif Courant</t>
  </si>
  <si>
    <t>Total II</t>
  </si>
  <si>
    <t>Stocks et en cours :</t>
  </si>
  <si>
    <t>Passif Courant</t>
  </si>
  <si>
    <t>Passif Circulant</t>
  </si>
  <si>
    <t>Dettes financières courantes</t>
  </si>
  <si>
    <t>Créances d'exploitation :</t>
  </si>
  <si>
    <t>Dettes de location courantes</t>
  </si>
  <si>
    <t>Clients et comptes rattachés</t>
  </si>
  <si>
    <t>Provisions courantes</t>
  </si>
  <si>
    <t>Autres</t>
  </si>
  <si>
    <t xml:space="preserve">Fournisseurs et autres créditeurs </t>
  </si>
  <si>
    <t>Créances diverses</t>
  </si>
  <si>
    <t>Dettes d'impot</t>
  </si>
  <si>
    <t>Autres passifs courants</t>
  </si>
  <si>
    <t>Actif d'impôt courant</t>
  </si>
  <si>
    <t>Total III</t>
  </si>
  <si>
    <t>Trésorerie</t>
  </si>
  <si>
    <t>Trésorerie et équivalents de trésorerie</t>
  </si>
  <si>
    <t>Passifs classés comme détenus en vue de la vente</t>
  </si>
  <si>
    <t>Actifs classés comme détenus en vue de la vente</t>
  </si>
  <si>
    <t>Ch à rép + Prime de remb + écart de conv</t>
  </si>
  <si>
    <t>TOTAL GENERAL</t>
  </si>
  <si>
    <t>Date</t>
  </si>
  <si>
    <t>Adj Close</t>
  </si>
  <si>
    <t>Volume</t>
  </si>
  <si>
    <t>Moyenne: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</si>
</sst>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31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3.0"/>
      <color rgb="FF000000"/>
      <name val="Calibri"/>
    </font>
    <font>
      <color theme="1"/>
      <name val="Arial"/>
      <scheme val="minor"/>
    </font>
    <font>
      <sz val="9.0"/>
      <color rgb="FF000000"/>
      <name val="Calibri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Arial"/>
      <scheme val="minor"/>
    </font>
    <font>
      <i/>
      <sz val="11.0"/>
      <color rgb="FF000000"/>
      <name val="Calibri"/>
    </font>
    <font>
      <sz val="16.0"/>
      <color rgb="FF000000"/>
      <name val="&quot;Arial Black&quot;"/>
    </font>
    <font/>
    <font>
      <sz val="11.0"/>
      <color rgb="FF000000"/>
      <name val="&quot;Liberation Sans&quot;"/>
    </font>
    <font>
      <b/>
      <sz val="14.0"/>
      <color rgb="FF000000"/>
      <name val="&quot;MS Sans Serif&quot;"/>
    </font>
    <font>
      <b/>
      <sz val="14.0"/>
      <color rgb="FF000000"/>
      <name val="&quot;Calibri Light&quot;"/>
    </font>
    <font>
      <b/>
      <sz val="14.0"/>
      <color rgb="FF000000"/>
      <name val="Arial"/>
    </font>
    <font>
      <b/>
      <u/>
      <sz val="12.0"/>
      <color rgb="FF000000"/>
      <name val="&quot;Calibri Light&quot;"/>
    </font>
    <font>
      <sz val="11.0"/>
      <color rgb="FF000000"/>
      <name val="&quot;Calibri Light&quot;"/>
    </font>
    <font>
      <b/>
      <u/>
      <sz val="12.0"/>
      <color rgb="FF000000"/>
      <name val="&quot;Calibri Light&quot;"/>
    </font>
    <font>
      <sz val="11.0"/>
      <color rgb="FFB4C6E7"/>
      <name val="Calibri"/>
    </font>
    <font>
      <b/>
      <i/>
      <color rgb="FF000000"/>
      <name val="&quot;Calibri Light&quot;"/>
    </font>
    <font>
      <sz val="11.0"/>
      <color rgb="FF000000"/>
      <name val="Arial"/>
    </font>
    <font>
      <b/>
      <sz val="11.0"/>
      <color rgb="FF000000"/>
      <name val="&quot;Calibri Light&quot;"/>
    </font>
    <font>
      <i/>
      <sz val="11.0"/>
      <color rgb="FF000000"/>
      <name val="Arial"/>
    </font>
    <font>
      <color rgb="FF000000"/>
      <name val="&quot;Calibri Light&quot;"/>
    </font>
    <font>
      <b/>
      <sz val="11.0"/>
      <color rgb="FF000000"/>
      <name val="Arial"/>
    </font>
    <font>
      <b/>
      <u/>
      <sz val="12.0"/>
      <color rgb="FF000000"/>
      <name val="&quot;Calibri Light&quot;"/>
    </font>
    <font>
      <b/>
      <color rgb="FF000000"/>
      <name val="&quot;Calibri Light&quot;"/>
    </font>
    <font>
      <sz val="11.0"/>
      <color rgb="FF444444"/>
      <name val="&quot;Calibri Light&quot;"/>
    </font>
    <font>
      <b/>
      <u/>
      <sz val="12.0"/>
      <color rgb="FF000000"/>
      <name val="&quot;Calibri Light&quot;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4" fontId="2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1" numFmtId="10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1" numFmtId="4" xfId="0" applyAlignment="1" applyFont="1" applyNumberFormat="1">
      <alignment horizontal="right" readingOrder="0" vertical="bottom"/>
    </xf>
    <xf borderId="0" fillId="0" fontId="1" numFmtId="9" xfId="0" applyAlignment="1" applyFont="1" applyNumberFormat="1">
      <alignment horizontal="right" readingOrder="0" vertical="bottom"/>
    </xf>
    <xf borderId="1" fillId="3" fontId="10" numFmtId="0" xfId="0" applyAlignment="1" applyBorder="1" applyFont="1">
      <alignment horizontal="center" readingOrder="0"/>
    </xf>
    <xf borderId="2" fillId="0" fontId="11" numFmtId="0" xfId="0" applyBorder="1" applyFont="1"/>
    <xf borderId="3" fillId="0" fontId="11" numFmtId="0" xfId="0" applyBorder="1" applyFont="1"/>
    <xf borderId="4" fillId="0" fontId="11" numFmtId="0" xfId="0" applyBorder="1" applyFont="1"/>
    <xf borderId="5" fillId="0" fontId="11" numFmtId="0" xfId="0" applyBorder="1" applyFont="1"/>
    <xf borderId="0" fillId="0" fontId="12" numFmtId="0" xfId="0" applyAlignment="1" applyFont="1">
      <alignment vertical="bottom"/>
    </xf>
    <xf borderId="6" fillId="0" fontId="11" numFmtId="0" xfId="0" applyBorder="1" applyFont="1"/>
    <xf borderId="7" fillId="0" fontId="11" numFmtId="0" xfId="0" applyBorder="1" applyFont="1"/>
    <xf borderId="8" fillId="0" fontId="11" numFmtId="0" xfId="0" applyBorder="1" applyFont="1"/>
    <xf borderId="0" fillId="0" fontId="13" numFmtId="0" xfId="0" applyAlignment="1" applyFont="1">
      <alignment vertical="bottom"/>
    </xf>
    <xf borderId="1" fillId="0" fontId="14" numFmtId="0" xfId="0" applyAlignment="1" applyBorder="1" applyFont="1">
      <alignment readingOrder="0" vertical="bottom"/>
    </xf>
    <xf borderId="9" fillId="0" fontId="15" numFmtId="164" xfId="0" applyAlignment="1" applyBorder="1" applyFont="1" applyNumberFormat="1">
      <alignment readingOrder="0" vertical="bottom"/>
    </xf>
    <xf borderId="3" fillId="0" fontId="15" numFmtId="164" xfId="0" applyAlignment="1" applyBorder="1" applyFont="1" applyNumberFormat="1">
      <alignment readingOrder="0" vertical="bottom"/>
    </xf>
    <xf borderId="2" fillId="0" fontId="15" numFmtId="164" xfId="0" applyAlignment="1" applyBorder="1" applyFont="1" applyNumberFormat="1">
      <alignment readingOrder="0" vertical="bottom"/>
    </xf>
    <xf borderId="10" fillId="0" fontId="14" numFmtId="0" xfId="0" applyAlignment="1" applyBorder="1" applyFont="1">
      <alignment readingOrder="0" vertical="bottom"/>
    </xf>
    <xf borderId="11" fillId="0" fontId="15" numFmtId="164" xfId="0" applyAlignment="1" applyBorder="1" applyFont="1" applyNumberFormat="1">
      <alignment horizontal="right" readingOrder="0" vertical="bottom"/>
    </xf>
    <xf borderId="12" fillId="0" fontId="15" numFmtId="164" xfId="0" applyAlignment="1" applyBorder="1" applyFont="1" applyNumberFormat="1">
      <alignment horizontal="right" readingOrder="0" vertical="bottom"/>
    </xf>
    <xf borderId="10" fillId="0" fontId="15" numFmtId="164" xfId="0" applyAlignment="1" applyBorder="1" applyFont="1" applyNumberFormat="1">
      <alignment horizontal="right" readingOrder="0" vertical="bottom"/>
    </xf>
    <xf borderId="0" fillId="5" fontId="2" numFmtId="0" xfId="0" applyAlignment="1" applyFill="1" applyFont="1">
      <alignment readingOrder="0" vertical="bottom"/>
    </xf>
    <xf borderId="1" fillId="0" fontId="16" numFmtId="0" xfId="0" applyAlignment="1" applyBorder="1" applyFont="1">
      <alignment readingOrder="0" vertical="bottom"/>
    </xf>
    <xf borderId="1" fillId="0" fontId="17" numFmtId="0" xfId="0" applyAlignment="1" applyBorder="1" applyFont="1">
      <alignment vertical="bottom"/>
    </xf>
    <xf borderId="13" fillId="0" fontId="18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13" fillId="0" fontId="17" numFmtId="0" xfId="0" applyAlignment="1" applyBorder="1" applyFont="1">
      <alignment vertical="bottom"/>
    </xf>
    <xf borderId="0" fillId="6" fontId="1" numFmtId="0" xfId="0" applyAlignment="1" applyFill="1" applyFont="1">
      <alignment horizontal="right" readingOrder="0" vertical="bottom"/>
    </xf>
    <xf borderId="0" fillId="5" fontId="1" numFmtId="0" xfId="0" applyAlignment="1" applyFont="1">
      <alignment vertical="bottom"/>
    </xf>
    <xf borderId="0" fillId="5" fontId="19" numFmtId="0" xfId="0" applyAlignment="1" applyFont="1">
      <alignment vertical="bottom"/>
    </xf>
    <xf borderId="4" fillId="0" fontId="20" numFmtId="0" xfId="0" applyAlignment="1" applyBorder="1" applyFont="1">
      <alignment readingOrder="0" vertical="bottom"/>
    </xf>
    <xf borderId="4" fillId="0" fontId="17" numFmtId="0" xfId="0" applyAlignment="1" applyBorder="1" applyFont="1">
      <alignment vertical="bottom"/>
    </xf>
    <xf borderId="13" fillId="0" fontId="17" numFmtId="0" xfId="0" applyAlignment="1" applyBorder="1" applyFont="1">
      <alignment readingOrder="0" vertical="bottom"/>
    </xf>
    <xf borderId="5" fillId="0" fontId="21" numFmtId="0" xfId="0" applyAlignment="1" applyBorder="1" applyFont="1">
      <alignment horizontal="right" readingOrder="0" vertical="bottom"/>
    </xf>
    <xf borderId="0" fillId="0" fontId="21" numFmtId="0" xfId="0" applyAlignment="1" applyFont="1">
      <alignment horizontal="right" readingOrder="0" vertical="bottom"/>
    </xf>
    <xf borderId="13" fillId="0" fontId="21" numFmtId="0" xfId="0" applyAlignment="1" applyBorder="1" applyFont="1">
      <alignment horizontal="right" readingOrder="0" vertical="bottom"/>
    </xf>
    <xf borderId="0" fillId="6" fontId="12" numFmtId="0" xfId="0" applyAlignment="1" applyFont="1">
      <alignment vertical="bottom"/>
    </xf>
    <xf borderId="0" fillId="6" fontId="1" numFmtId="0" xfId="0" applyAlignment="1" applyFont="1">
      <alignment vertical="bottom"/>
    </xf>
    <xf borderId="4" fillId="0" fontId="17" numFmtId="0" xfId="0" applyAlignment="1" applyBorder="1" applyFont="1">
      <alignment readingOrder="0" vertical="bottom"/>
    </xf>
    <xf borderId="4" fillId="0" fontId="21" numFmtId="0" xfId="0" applyAlignment="1" applyBorder="1" applyFont="1">
      <alignment horizontal="right" readingOrder="0" vertical="bottom"/>
    </xf>
    <xf borderId="5" fillId="0" fontId="17" numFmtId="0" xfId="0" applyAlignment="1" applyBorder="1" applyFont="1">
      <alignment horizontal="right" readingOrder="0" vertical="bottom"/>
    </xf>
    <xf borderId="0" fillId="0" fontId="17" numFmtId="0" xfId="0" applyAlignment="1" applyFont="1">
      <alignment horizontal="right" readingOrder="0" vertical="bottom"/>
    </xf>
    <xf borderId="13" fillId="0" fontId="17" numFmtId="0" xfId="0" applyAlignment="1" applyBorder="1" applyFont="1">
      <alignment horizontal="right" readingOrder="0" vertical="bottom"/>
    </xf>
    <xf borderId="4" fillId="0" fontId="17" numFmtId="0" xfId="0" applyAlignment="1" applyBorder="1" applyFont="1">
      <alignment horizontal="center" vertical="bottom"/>
    </xf>
    <xf borderId="13" fillId="0" fontId="22" numFmtId="0" xfId="0" applyAlignment="1" applyBorder="1" applyFont="1">
      <alignment readingOrder="0" vertical="bottom"/>
    </xf>
    <xf borderId="0" fillId="0" fontId="22" numFmtId="0" xfId="0" applyAlignment="1" applyFont="1">
      <alignment horizontal="right" readingOrder="0" vertical="bottom"/>
    </xf>
    <xf borderId="13" fillId="0" fontId="22" numFmtId="0" xfId="0" applyAlignment="1" applyBorder="1" applyFont="1">
      <alignment horizontal="right" readingOrder="0" vertical="bottom"/>
    </xf>
    <xf borderId="4" fillId="0" fontId="21" numFmtId="0" xfId="0" applyAlignment="1" applyBorder="1" applyFont="1">
      <alignment horizontal="left" readingOrder="0" vertical="bottom"/>
    </xf>
    <xf borderId="4" fillId="0" fontId="23" numFmtId="0" xfId="0" applyAlignment="1" applyBorder="1" applyFont="1">
      <alignment horizontal="left" readingOrder="0" vertical="bottom"/>
    </xf>
    <xf borderId="0" fillId="0" fontId="24" numFmtId="0" xfId="0" applyAlignment="1" applyFont="1">
      <alignment horizontal="right" readingOrder="0" vertical="bottom"/>
    </xf>
    <xf borderId="13" fillId="0" fontId="24" numFmtId="0" xfId="0" applyAlignment="1" applyBorder="1" applyFont="1">
      <alignment horizontal="right" readingOrder="0" vertical="bottom"/>
    </xf>
    <xf borderId="4" fillId="0" fontId="21" numFmtId="0" xfId="0" applyAlignment="1" applyBorder="1" applyFont="1">
      <alignment readingOrder="0" vertical="bottom"/>
    </xf>
    <xf borderId="10" fillId="0" fontId="22" numFmtId="0" xfId="0" applyAlignment="1" applyBorder="1" applyFont="1">
      <alignment readingOrder="0" vertical="bottom"/>
    </xf>
    <xf borderId="11" fillId="0" fontId="25" numFmtId="0" xfId="0" applyAlignment="1" applyBorder="1" applyFont="1">
      <alignment horizontal="right" readingOrder="0" vertical="bottom"/>
    </xf>
    <xf borderId="12" fillId="0" fontId="25" numFmtId="0" xfId="0" applyAlignment="1" applyBorder="1" applyFont="1">
      <alignment horizontal="right" readingOrder="0" vertical="bottom"/>
    </xf>
    <xf borderId="10" fillId="0" fontId="25" numFmtId="0" xfId="0" applyAlignment="1" applyBorder="1" applyFont="1">
      <alignment horizontal="right" readingOrder="0" vertical="bottom"/>
    </xf>
    <xf borderId="13" fillId="0" fontId="26" numFmtId="0" xfId="0" applyAlignment="1" applyBorder="1" applyFont="1">
      <alignment readingOrder="0" vertical="bottom"/>
    </xf>
    <xf borderId="5" fillId="0" fontId="27" numFmtId="0" xfId="0" applyAlignment="1" applyBorder="1" applyFont="1">
      <alignment vertical="bottom"/>
    </xf>
    <xf borderId="0" fillId="0" fontId="27" numFmtId="0" xfId="0" applyAlignment="1" applyFont="1">
      <alignment vertical="bottom"/>
    </xf>
    <xf borderId="13" fillId="0" fontId="27" numFmtId="0" xfId="0" applyAlignment="1" applyBorder="1" applyFont="1">
      <alignment vertical="bottom"/>
    </xf>
    <xf borderId="4" fillId="0" fontId="28" numFmtId="0" xfId="0" applyAlignment="1" applyBorder="1" applyFont="1">
      <alignment readingOrder="0" vertical="bottom"/>
    </xf>
    <xf borderId="13" fillId="0" fontId="21" numFmtId="0" xfId="0" applyAlignment="1" applyBorder="1" applyFont="1">
      <alignment readingOrder="0" vertical="bottom"/>
    </xf>
    <xf borderId="0" fillId="0" fontId="19" numFmtId="0" xfId="0" applyAlignment="1" applyFont="1">
      <alignment vertical="bottom"/>
    </xf>
    <xf borderId="14" fillId="0" fontId="27" numFmtId="0" xfId="0" applyAlignment="1" applyBorder="1" applyFont="1">
      <alignment readingOrder="0" vertical="bottom"/>
    </xf>
    <xf borderId="14" fillId="0" fontId="27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4" fillId="0" fontId="29" numFmtId="0" xfId="0" applyAlignment="1" applyBorder="1" applyFont="1">
      <alignment readingOrder="0" vertical="bottom"/>
    </xf>
    <xf borderId="0" fillId="4" fontId="21" numFmtId="0" xfId="0" applyAlignment="1" applyFont="1">
      <alignment horizontal="left" readingOrder="0"/>
    </xf>
    <xf borderId="0" fillId="0" fontId="21" numFmtId="0" xfId="0" applyAlignment="1" applyFont="1">
      <alignment readingOrder="0" vertical="bottom"/>
    </xf>
    <xf borderId="0" fillId="7" fontId="2" numFmtId="0" xfId="0" applyAlignment="1" applyFill="1" applyFont="1">
      <alignment readingOrder="0" vertical="bottom"/>
    </xf>
    <xf borderId="12" fillId="0" fontId="22" numFmtId="0" xfId="0" applyAlignment="1" applyBorder="1" applyFont="1">
      <alignment horizontal="right" readingOrder="0" vertical="bottom"/>
    </xf>
    <xf borderId="0" fillId="7" fontId="1" numFmtId="0" xfId="0" applyAlignment="1" applyFont="1">
      <alignment vertical="bottom"/>
    </xf>
    <xf borderId="0" fillId="8" fontId="12" numFmtId="0" xfId="0" applyAlignment="1" applyFill="1" applyFont="1">
      <alignment horizontal="right" readingOrder="0" vertical="bottom"/>
    </xf>
    <xf borderId="4" fillId="0" fontId="21" numFmtId="0" xfId="0" applyAlignment="1" applyBorder="1" applyFont="1">
      <alignment horizontal="right" readingOrder="0" vertical="top"/>
    </xf>
    <xf borderId="0" fillId="4" fontId="21" numFmtId="0" xfId="0" applyAlignment="1" applyFont="1">
      <alignment horizontal="right" readingOrder="0"/>
    </xf>
    <xf borderId="0" fillId="8" fontId="12" numFmtId="0" xfId="0" applyAlignment="1" applyFont="1">
      <alignment vertical="bottom"/>
    </xf>
    <xf borderId="0" fillId="8" fontId="1" numFmtId="0" xfId="0" applyAlignment="1" applyFont="1">
      <alignment vertical="bottom"/>
    </xf>
    <xf borderId="14" fillId="0" fontId="22" numFmtId="0" xfId="0" applyAlignment="1" applyBorder="1" applyFont="1">
      <alignment horizontal="right" readingOrder="0" vertical="bottom"/>
    </xf>
    <xf borderId="0" fillId="9" fontId="2" numFmtId="0" xfId="0" applyAlignment="1" applyFill="1" applyFont="1">
      <alignment readingOrder="0" vertical="bottom"/>
    </xf>
    <xf borderId="0" fillId="9" fontId="1" numFmtId="0" xfId="0" applyAlignment="1" applyFont="1">
      <alignment vertical="bottom"/>
    </xf>
    <xf borderId="13" fillId="0" fontId="27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right" readingOrder="0" vertical="bottom"/>
    </xf>
    <xf borderId="13" fillId="0" fontId="27" numFmtId="0" xfId="0" applyAlignment="1" applyBorder="1" applyFont="1">
      <alignment horizontal="left"/>
    </xf>
    <xf borderId="5" fillId="0" fontId="1" numFmtId="0" xfId="0" applyAlignment="1" applyBorder="1" applyFont="1">
      <alignment vertical="bottom"/>
    </xf>
    <xf borderId="10" fillId="0" fontId="27" numFmtId="0" xfId="0" applyAlignment="1" applyBorder="1" applyFont="1">
      <alignment readingOrder="0" vertical="bottom"/>
    </xf>
    <xf borderId="10" fillId="0" fontId="27" numFmtId="0" xfId="0" applyAlignment="1" applyBorder="1" applyFon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horizontal="right" vertical="bottom"/>
    </xf>
    <xf borderId="0" fillId="0" fontId="7" numFmtId="4" xfId="0" applyAlignment="1" applyFont="1" applyNumberFormat="1">
      <alignment readingOrder="0" vertical="bottom"/>
    </xf>
    <xf borderId="0" fillId="0" fontId="7" numFmtId="0" xfId="0" applyAlignment="1" applyFont="1">
      <alignment horizontal="right" vertical="bottom"/>
    </xf>
    <xf borderId="0" fillId="0" fontId="30" numFmtId="0" xfId="0" applyAlignment="1" applyFont="1">
      <alignment readingOrder="0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69.5"/>
    <col customWidth="1" min="3" max="3" width="30.13"/>
    <col customWidth="1" min="4" max="4" width="38.38"/>
    <col customWidth="1" min="5" max="5" width="33.5"/>
    <col customWidth="1" min="7" max="7" width="69.38"/>
    <col customWidth="1" min="11" max="11" width="20.38"/>
  </cols>
  <sheetData>
    <row r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5"/>
      <c r="N1" s="5"/>
    </row>
    <row r="2">
      <c r="A2" s="1"/>
      <c r="B2" s="1"/>
      <c r="C2" s="3">
        <v>45107.0</v>
      </c>
      <c r="D2" s="3">
        <v>44742.0</v>
      </c>
      <c r="E2" s="4">
        <v>44377.0</v>
      </c>
      <c r="F2" s="1"/>
      <c r="G2" s="1"/>
      <c r="H2" s="1"/>
      <c r="I2" s="1"/>
      <c r="J2" s="1"/>
      <c r="K2" s="1"/>
      <c r="L2" s="1"/>
      <c r="M2" s="5"/>
      <c r="N2" s="5"/>
    </row>
    <row r="3">
      <c r="A3" s="6" t="s">
        <v>1</v>
      </c>
      <c r="B3" s="7" t="s">
        <v>2</v>
      </c>
      <c r="C3" s="8">
        <v>14488.0</v>
      </c>
      <c r="D3" s="8">
        <v>35429.0</v>
      </c>
      <c r="E3" s="8">
        <v>57121.0</v>
      </c>
      <c r="F3" s="1"/>
      <c r="G3" s="9"/>
      <c r="K3" s="1"/>
      <c r="L3" s="1"/>
      <c r="M3" s="5"/>
      <c r="N3" s="5"/>
    </row>
    <row r="4">
      <c r="A4" s="10"/>
      <c r="B4" s="10" t="s">
        <v>3</v>
      </c>
      <c r="C4" s="8">
        <v>61663.0</v>
      </c>
      <c r="D4" s="8">
        <v>65105.0</v>
      </c>
      <c r="E4" s="8">
        <v>68776.0</v>
      </c>
      <c r="F4" s="1"/>
      <c r="G4" s="1"/>
      <c r="H4" s="1"/>
      <c r="I4" s="1"/>
      <c r="J4" s="1"/>
      <c r="K4" s="1"/>
      <c r="L4" s="1"/>
      <c r="M4" s="5"/>
      <c r="N4" s="5"/>
    </row>
    <row r="5">
      <c r="A5" s="10"/>
      <c r="B5" s="10" t="s">
        <v>4</v>
      </c>
      <c r="C5" s="8">
        <f t="shared" ref="C5:E5" si="1">((C4-C3)/C3)*100</f>
        <v>325.6143015</v>
      </c>
      <c r="D5" s="8">
        <f t="shared" si="1"/>
        <v>83.76188998</v>
      </c>
      <c r="E5" s="8">
        <f t="shared" si="1"/>
        <v>20.40405455</v>
      </c>
      <c r="F5" s="1"/>
      <c r="G5" s="1"/>
      <c r="H5" s="1"/>
      <c r="I5" s="1"/>
      <c r="J5" s="1"/>
      <c r="K5" s="1"/>
      <c r="L5" s="1"/>
      <c r="M5" s="5"/>
      <c r="N5" s="5"/>
    </row>
    <row r="6">
      <c r="A6" s="7"/>
      <c r="B6" s="7"/>
      <c r="C6" s="8"/>
      <c r="D6" s="8"/>
      <c r="E6" s="8"/>
      <c r="F6" s="1"/>
      <c r="G6" s="1"/>
      <c r="H6" s="1"/>
      <c r="I6" s="1"/>
      <c r="J6" s="1"/>
      <c r="K6" s="1"/>
      <c r="L6" s="1"/>
      <c r="M6" s="5"/>
      <c r="N6" s="5"/>
    </row>
    <row r="7">
      <c r="A7" s="7"/>
      <c r="B7" s="7"/>
      <c r="C7" s="8"/>
      <c r="D7" s="8"/>
      <c r="E7" s="8"/>
      <c r="F7" s="1"/>
      <c r="G7" s="1"/>
      <c r="H7" s="1"/>
      <c r="I7" s="1"/>
      <c r="J7" s="1"/>
      <c r="K7" s="1"/>
      <c r="L7" s="1"/>
      <c r="M7" s="5"/>
      <c r="N7" s="5"/>
    </row>
    <row r="8">
      <c r="A8" s="6" t="s">
        <v>5</v>
      </c>
      <c r="B8" s="7" t="s">
        <v>6</v>
      </c>
      <c r="C8" s="8">
        <v>2406000.0</v>
      </c>
      <c r="D8" s="8">
        <v>2203000.0</v>
      </c>
      <c r="E8" s="8">
        <v>2892000.0</v>
      </c>
      <c r="F8" s="1"/>
      <c r="G8" s="1"/>
      <c r="H8" s="1"/>
      <c r="I8" s="1"/>
      <c r="J8" s="1"/>
      <c r="K8" s="1"/>
      <c r="L8" s="1"/>
      <c r="M8" s="5"/>
      <c r="N8" s="5"/>
    </row>
    <row r="9">
      <c r="A9" s="7"/>
      <c r="B9" s="7" t="s">
        <v>7</v>
      </c>
      <c r="C9" s="11">
        <v>-1462.0</v>
      </c>
      <c r="D9" s="8">
        <v>-2120.0</v>
      </c>
      <c r="E9" s="8">
        <v>-2031.0</v>
      </c>
      <c r="F9" s="1"/>
      <c r="G9" s="1"/>
      <c r="H9" s="1"/>
      <c r="I9" s="1"/>
      <c r="J9" s="1"/>
      <c r="K9" s="1"/>
      <c r="L9" s="1"/>
      <c r="M9" s="5"/>
      <c r="N9" s="5"/>
    </row>
    <row r="10">
      <c r="A10" s="1"/>
      <c r="B10" s="7" t="s">
        <v>8</v>
      </c>
      <c r="C10" s="12">
        <f t="shared" ref="C10:E10" si="2">(C9/C8)</f>
        <v>-0.0006076475478</v>
      </c>
      <c r="D10" s="12">
        <f t="shared" si="2"/>
        <v>-0.0009623241035</v>
      </c>
      <c r="E10" s="12">
        <f t="shared" si="2"/>
        <v>-0.0007022821577</v>
      </c>
      <c r="F10" s="1"/>
      <c r="G10" s="1"/>
      <c r="H10" s="1"/>
      <c r="I10" s="1"/>
      <c r="J10" s="1"/>
      <c r="K10" s="1"/>
      <c r="L10" s="1"/>
      <c r="M10" s="5"/>
      <c r="N10" s="5"/>
    </row>
    <row r="11">
      <c r="A11" s="7"/>
      <c r="B11" s="7" t="s">
        <v>9</v>
      </c>
      <c r="C11" s="12">
        <f t="shared" ref="C11:E11" si="3">C3/C8</f>
        <v>0.006021612635</v>
      </c>
      <c r="D11" s="12">
        <f t="shared" si="3"/>
        <v>0.01608216069</v>
      </c>
      <c r="E11" s="12">
        <f t="shared" si="3"/>
        <v>0.01975138313</v>
      </c>
      <c r="F11" s="1"/>
      <c r="G11" s="1"/>
      <c r="H11" s="1"/>
      <c r="I11" s="1"/>
      <c r="J11" s="1"/>
      <c r="K11" s="1"/>
      <c r="L11" s="1"/>
      <c r="M11" s="5"/>
      <c r="N11" s="5"/>
    </row>
    <row r="12">
      <c r="A12" s="7"/>
      <c r="B12" s="7"/>
      <c r="C12" s="8"/>
      <c r="D12" s="8"/>
      <c r="E12" s="8"/>
      <c r="F12" s="1"/>
      <c r="G12" s="1"/>
      <c r="H12" s="1"/>
      <c r="I12" s="1"/>
      <c r="J12" s="1"/>
      <c r="K12" s="1"/>
      <c r="L12" s="1"/>
      <c r="M12" s="5"/>
      <c r="N12" s="5"/>
    </row>
    <row r="13">
      <c r="A13" s="13"/>
      <c r="B13" s="7"/>
      <c r="C13" s="8"/>
      <c r="D13" s="8"/>
      <c r="E13" s="8"/>
      <c r="F13" s="14"/>
      <c r="G13" s="15"/>
      <c r="H13" s="15"/>
      <c r="I13" s="15"/>
      <c r="J13" s="15"/>
      <c r="K13" s="15"/>
      <c r="L13" s="15"/>
      <c r="M13" s="15"/>
      <c r="N13" s="15"/>
    </row>
    <row r="14">
      <c r="A14" s="6" t="s">
        <v>10</v>
      </c>
      <c r="B14" s="7" t="s">
        <v>11</v>
      </c>
      <c r="C14" s="8">
        <f t="shared" ref="C14:E14" si="4">C3</f>
        <v>14488</v>
      </c>
      <c r="D14" s="8">
        <f t="shared" si="4"/>
        <v>35429</v>
      </c>
      <c r="E14" s="8">
        <f t="shared" si="4"/>
        <v>57121</v>
      </c>
      <c r="F14" s="14"/>
      <c r="G14" s="15"/>
      <c r="H14" s="15"/>
      <c r="I14" s="15"/>
      <c r="J14" s="15"/>
      <c r="K14" s="15"/>
      <c r="L14" s="15"/>
      <c r="M14" s="15"/>
      <c r="N14" s="15"/>
    </row>
    <row r="15">
      <c r="A15" s="13"/>
      <c r="B15" s="7" t="s">
        <v>12</v>
      </c>
      <c r="C15" s="8">
        <v>774462.0</v>
      </c>
      <c r="D15" s="8">
        <v>852410.0</v>
      </c>
      <c r="E15" s="8">
        <v>739767.0</v>
      </c>
      <c r="F15" s="14"/>
      <c r="G15" s="15"/>
      <c r="H15" s="15"/>
      <c r="I15" s="15"/>
      <c r="J15" s="15"/>
      <c r="K15" s="15"/>
      <c r="L15" s="15"/>
      <c r="M15" s="15"/>
      <c r="N15" s="15"/>
    </row>
    <row r="16">
      <c r="A16" s="13"/>
      <c r="B16" s="16" t="s">
        <v>13</v>
      </c>
      <c r="C16" s="8">
        <v>614674.0</v>
      </c>
      <c r="D16" s="8">
        <v>623720.0</v>
      </c>
      <c r="E16" s="8">
        <v>618529.0</v>
      </c>
      <c r="F16" s="14"/>
      <c r="G16" s="15"/>
      <c r="H16" s="15"/>
      <c r="I16" s="15"/>
      <c r="J16" s="15"/>
      <c r="K16" s="15"/>
      <c r="L16" s="15"/>
      <c r="M16" s="15"/>
      <c r="N16" s="15"/>
    </row>
    <row r="17">
      <c r="A17" s="13"/>
      <c r="B17" s="16" t="s">
        <v>14</v>
      </c>
      <c r="C17" s="12">
        <f t="shared" ref="C17:E17" si="5">C14/C16</f>
        <v>0.02357021771</v>
      </c>
      <c r="D17" s="12">
        <f t="shared" si="5"/>
        <v>0.056802732</v>
      </c>
      <c r="E17" s="12">
        <f t="shared" si="5"/>
        <v>0.0923497524</v>
      </c>
      <c r="F17" s="14"/>
      <c r="G17" s="15"/>
    </row>
    <row r="18">
      <c r="A18" s="17"/>
      <c r="B18" s="16" t="s">
        <v>15</v>
      </c>
      <c r="C18" s="12">
        <f t="shared" ref="C18:E18" si="6">C14/C15</f>
        <v>0.01870717995</v>
      </c>
      <c r="D18" s="12">
        <f t="shared" si="6"/>
        <v>0.0415633322</v>
      </c>
      <c r="E18" s="12">
        <f t="shared" si="6"/>
        <v>0.07721485278</v>
      </c>
      <c r="F18" s="1"/>
      <c r="G18" s="18"/>
      <c r="H18" s="1"/>
      <c r="I18" s="1"/>
      <c r="J18" s="1"/>
      <c r="K18" s="1"/>
      <c r="L18" s="1"/>
      <c r="M18" s="5"/>
      <c r="N18" s="5"/>
    </row>
    <row r="19">
      <c r="A19" s="17"/>
      <c r="B19" s="16" t="s">
        <v>16</v>
      </c>
      <c r="C19" s="12">
        <f t="shared" ref="C19:E19" si="7">C11</f>
        <v>0.006021612635</v>
      </c>
      <c r="D19" s="12">
        <f t="shared" si="7"/>
        <v>0.01608216069</v>
      </c>
      <c r="E19" s="12">
        <f t="shared" si="7"/>
        <v>0.01975138313</v>
      </c>
      <c r="F19" s="1"/>
      <c r="G19" s="1"/>
      <c r="H19" s="1"/>
      <c r="I19" s="1"/>
      <c r="J19" s="1"/>
      <c r="K19" s="1"/>
      <c r="L19" s="1"/>
      <c r="M19" s="5"/>
      <c r="N19" s="5"/>
    </row>
    <row r="20">
      <c r="A20" s="7"/>
      <c r="B20" s="7"/>
      <c r="C20" s="8"/>
      <c r="D20" s="8"/>
      <c r="E20" s="8"/>
      <c r="F20" s="1"/>
      <c r="G20" s="1"/>
      <c r="H20" s="1"/>
      <c r="I20" s="1"/>
      <c r="J20" s="1"/>
      <c r="K20" s="1"/>
      <c r="L20" s="1"/>
      <c r="M20" s="5"/>
      <c r="N20" s="5"/>
    </row>
    <row r="21">
      <c r="A21" s="7"/>
      <c r="B21" s="7" t="s">
        <v>17</v>
      </c>
      <c r="C21" s="8">
        <v>305044.0</v>
      </c>
      <c r="D21" s="8">
        <v>343422.0</v>
      </c>
      <c r="E21" s="8">
        <v>311982.0</v>
      </c>
      <c r="F21" s="1"/>
      <c r="G21" s="1"/>
      <c r="H21" s="1"/>
      <c r="I21" s="1"/>
      <c r="J21" s="1"/>
      <c r="K21" s="1"/>
      <c r="L21" s="1"/>
      <c r="M21" s="5"/>
      <c r="N21" s="5"/>
    </row>
    <row r="22">
      <c r="A22" s="7"/>
      <c r="B22" s="7" t="s">
        <v>18</v>
      </c>
      <c r="C22" s="8">
        <v>1304793.0</v>
      </c>
      <c r="D22" s="8">
        <v>1217888.0</v>
      </c>
      <c r="E22" s="8">
        <v>1127709.0</v>
      </c>
      <c r="F22" s="1"/>
      <c r="G22" s="1"/>
      <c r="H22" s="1"/>
      <c r="I22" s="1"/>
      <c r="J22" s="1"/>
      <c r="K22" s="1"/>
      <c r="L22" s="1"/>
      <c r="M22" s="5"/>
      <c r="N22" s="5"/>
    </row>
    <row r="23">
      <c r="A23" s="7"/>
      <c r="B23" s="7" t="s">
        <v>19</v>
      </c>
      <c r="C23" s="8">
        <v>1730749.0</v>
      </c>
      <c r="D23" s="8">
        <v>1591410.0</v>
      </c>
      <c r="E23" s="8">
        <v>1545951.0</v>
      </c>
      <c r="F23" s="1"/>
      <c r="G23" s="1"/>
      <c r="H23" s="1"/>
      <c r="I23" s="1"/>
      <c r="J23" s="1"/>
      <c r="K23" s="1"/>
      <c r="L23" s="1"/>
      <c r="M23" s="5"/>
      <c r="N23" s="5"/>
    </row>
    <row r="24">
      <c r="A24" s="7"/>
      <c r="B24" s="7" t="s">
        <v>20</v>
      </c>
      <c r="C24" s="8">
        <v>465964.0</v>
      </c>
      <c r="D24" s="8">
        <v>475484.0</v>
      </c>
      <c r="E24" s="8">
        <v>454049.0</v>
      </c>
      <c r="F24" s="1"/>
      <c r="G24" s="1"/>
      <c r="H24" s="1"/>
      <c r="I24" s="1"/>
      <c r="J24" s="1"/>
      <c r="K24" s="1"/>
      <c r="L24" s="1"/>
      <c r="M24" s="5"/>
      <c r="N24" s="5"/>
    </row>
    <row r="25">
      <c r="A25" s="7"/>
      <c r="B25" s="7" t="s">
        <v>21</v>
      </c>
      <c r="C25" s="8">
        <v>536626.0</v>
      </c>
      <c r="D25" s="8">
        <v>491469.0</v>
      </c>
      <c r="E25" s="8">
        <v>441883.0</v>
      </c>
      <c r="F25" s="1"/>
      <c r="G25" s="1"/>
      <c r="H25" s="1"/>
      <c r="I25" s="1"/>
      <c r="J25" s="1"/>
      <c r="K25" s="1"/>
      <c r="L25" s="1"/>
      <c r="M25" s="5"/>
      <c r="N25" s="5"/>
    </row>
    <row r="26">
      <c r="A26" s="7"/>
      <c r="B26" s="7" t="s">
        <v>22</v>
      </c>
      <c r="C26" s="8"/>
      <c r="D26" s="8"/>
      <c r="E26" s="8"/>
      <c r="F26" s="1"/>
      <c r="G26" s="1"/>
      <c r="H26" s="1"/>
      <c r="I26" s="1"/>
      <c r="J26" s="1"/>
      <c r="K26" s="1"/>
      <c r="L26" s="1"/>
      <c r="M26" s="5"/>
      <c r="N26" s="5"/>
    </row>
    <row r="27">
      <c r="A27" s="7"/>
      <c r="B27" s="7" t="s">
        <v>23</v>
      </c>
      <c r="C27" s="8">
        <f t="shared" ref="C27:E27" si="8">(C21*360)/C8</f>
        <v>45.64249377</v>
      </c>
      <c r="D27" s="8">
        <f t="shared" si="8"/>
        <v>56.11980027</v>
      </c>
      <c r="E27" s="8">
        <f t="shared" si="8"/>
        <v>38.83593361</v>
      </c>
      <c r="F27" s="1"/>
      <c r="G27" s="1"/>
      <c r="H27" s="1"/>
      <c r="I27" s="1"/>
      <c r="J27" s="1"/>
      <c r="K27" s="1"/>
      <c r="L27" s="1"/>
      <c r="M27" s="5"/>
      <c r="N27" s="5"/>
    </row>
    <row r="28">
      <c r="A28" s="7"/>
      <c r="B28" s="7" t="s">
        <v>24</v>
      </c>
      <c r="C28" s="8">
        <f t="shared" ref="C28:E28" si="9">C22*360/C23</f>
        <v>271.4001164</v>
      </c>
      <c r="D28" s="8">
        <f t="shared" si="9"/>
        <v>275.5039116</v>
      </c>
      <c r="E28" s="8">
        <f t="shared" si="9"/>
        <v>262.605503</v>
      </c>
      <c r="F28" s="1"/>
      <c r="G28" s="1"/>
      <c r="H28" s="1"/>
      <c r="I28" s="1"/>
      <c r="J28" s="1"/>
      <c r="K28" s="1"/>
      <c r="L28" s="1"/>
      <c r="M28" s="5"/>
      <c r="N28" s="5"/>
    </row>
    <row r="29">
      <c r="A29" s="7"/>
      <c r="B29" s="7" t="s">
        <v>25</v>
      </c>
      <c r="C29" s="8">
        <f t="shared" ref="C29:E29" si="10">(C24*360)/(C23+C25)</f>
        <v>73.98292739</v>
      </c>
      <c r="D29" s="8">
        <f t="shared" si="10"/>
        <v>82.18155735</v>
      </c>
      <c r="E29" s="8">
        <f t="shared" si="10"/>
        <v>82.22901912</v>
      </c>
      <c r="F29" s="1"/>
      <c r="G29" s="1"/>
      <c r="H29" s="1"/>
      <c r="I29" s="1"/>
      <c r="J29" s="1"/>
      <c r="K29" s="1"/>
      <c r="L29" s="1"/>
      <c r="M29" s="5"/>
      <c r="N29" s="5"/>
    </row>
    <row r="30">
      <c r="A30" s="7"/>
      <c r="B30" s="7"/>
      <c r="C30" s="8"/>
      <c r="D30" s="8"/>
      <c r="E30" s="8"/>
      <c r="F30" s="1"/>
      <c r="G30" s="1"/>
      <c r="H30" s="1"/>
      <c r="I30" s="1"/>
      <c r="J30" s="1"/>
      <c r="K30" s="1"/>
      <c r="L30" s="1"/>
      <c r="M30" s="5"/>
      <c r="N30" s="5"/>
    </row>
    <row r="31">
      <c r="A31" s="7"/>
      <c r="B31" s="7"/>
      <c r="C31" s="8"/>
      <c r="D31" s="8"/>
      <c r="E31" s="8"/>
      <c r="F31" s="1"/>
      <c r="G31" s="1"/>
      <c r="H31" s="1"/>
      <c r="I31" s="1"/>
      <c r="J31" s="1"/>
      <c r="K31" s="1"/>
      <c r="L31" s="1"/>
      <c r="M31" s="5"/>
      <c r="N31" s="5"/>
    </row>
    <row r="32">
      <c r="A32" s="6" t="s">
        <v>26</v>
      </c>
      <c r="B32" s="19" t="s">
        <v>27</v>
      </c>
      <c r="C32" s="8"/>
      <c r="D32" s="8"/>
      <c r="E32" s="8"/>
      <c r="F32" s="1"/>
      <c r="G32" s="1"/>
      <c r="H32" s="1"/>
      <c r="I32" s="1"/>
      <c r="J32" s="1"/>
      <c r="K32" s="1"/>
      <c r="L32" s="1"/>
      <c r="M32" s="5"/>
      <c r="N32" s="5"/>
    </row>
    <row r="33">
      <c r="A33" s="7"/>
      <c r="B33" s="7" t="s">
        <v>28</v>
      </c>
      <c r="C33" s="8">
        <v>43502.0</v>
      </c>
      <c r="D33" s="8">
        <v>44373.0</v>
      </c>
      <c r="E33" s="8">
        <v>42923.0</v>
      </c>
      <c r="F33" s="1"/>
      <c r="G33" s="1"/>
      <c r="H33" s="1"/>
      <c r="I33" s="1"/>
      <c r="J33" s="1"/>
      <c r="K33" s="1"/>
      <c r="L33" s="1"/>
      <c r="M33" s="5"/>
      <c r="N33" s="5"/>
    </row>
    <row r="34">
      <c r="A34" s="7"/>
      <c r="B34" s="7" t="s">
        <v>29</v>
      </c>
      <c r="C34" s="8">
        <f t="shared" ref="C34:E34" si="11">C9</f>
        <v>-1462</v>
      </c>
      <c r="D34" s="8">
        <f t="shared" si="11"/>
        <v>-2120</v>
      </c>
      <c r="E34" s="8">
        <f t="shared" si="11"/>
        <v>-2031</v>
      </c>
      <c r="F34" s="1"/>
      <c r="G34" s="1"/>
      <c r="H34" s="1"/>
      <c r="I34" s="1"/>
      <c r="J34" s="1"/>
      <c r="K34" s="1"/>
      <c r="L34" s="1"/>
      <c r="M34" s="5"/>
      <c r="N34" s="5"/>
    </row>
    <row r="35">
      <c r="A35" s="7"/>
      <c r="B35" s="7" t="s">
        <v>30</v>
      </c>
      <c r="C35" s="12">
        <f t="shared" ref="C35:E35" si="12">C10</f>
        <v>-0.0006076475478</v>
      </c>
      <c r="D35" s="12">
        <f t="shared" si="12"/>
        <v>-0.0009623241035</v>
      </c>
      <c r="E35" s="12">
        <f t="shared" si="12"/>
        <v>-0.0007022821577</v>
      </c>
      <c r="F35" s="1"/>
      <c r="G35" s="1"/>
      <c r="H35" s="1"/>
      <c r="I35" s="1"/>
      <c r="J35" s="1"/>
      <c r="K35" s="1"/>
      <c r="L35" s="1"/>
      <c r="M35" s="5"/>
      <c r="N35" s="5"/>
    </row>
    <row r="36">
      <c r="A36" s="1"/>
      <c r="B36" s="7" t="s">
        <v>31</v>
      </c>
      <c r="C36" s="1">
        <f t="shared" ref="C36:E36" si="13">C16</f>
        <v>614674</v>
      </c>
      <c r="D36" s="1">
        <f t="shared" si="13"/>
        <v>623720</v>
      </c>
      <c r="E36" s="1">
        <f t="shared" si="13"/>
        <v>618529</v>
      </c>
      <c r="F36" s="1"/>
      <c r="G36" s="20"/>
      <c r="I36" s="1"/>
      <c r="J36" s="1"/>
      <c r="K36" s="1"/>
      <c r="L36" s="1"/>
      <c r="M36" s="5"/>
      <c r="N36" s="5"/>
    </row>
    <row r="37">
      <c r="A37" s="7"/>
      <c r="B37" s="7" t="s">
        <v>32</v>
      </c>
      <c r="C37" s="21">
        <f t="shared" ref="C37:E37" si="14">C8/C36</f>
        <v>3.914270003</v>
      </c>
      <c r="D37" s="21">
        <f t="shared" si="14"/>
        <v>3.532033605</v>
      </c>
      <c r="E37" s="21">
        <f t="shared" si="14"/>
        <v>4.675609389</v>
      </c>
      <c r="F37" s="1"/>
      <c r="G37" s="7"/>
      <c r="H37" s="7" t="s">
        <v>33</v>
      </c>
      <c r="I37" s="7" t="s">
        <v>34</v>
      </c>
      <c r="J37" s="7" t="s">
        <v>35</v>
      </c>
      <c r="K37" s="7" t="s">
        <v>36</v>
      </c>
      <c r="M37" s="5"/>
      <c r="N37" s="5"/>
    </row>
    <row r="38">
      <c r="A38" s="7"/>
      <c r="B38" s="7" t="s">
        <v>37</v>
      </c>
      <c r="C38" s="21">
        <f t="shared" ref="C38:E38" si="15">C18/C17</f>
        <v>0.7936787086</v>
      </c>
      <c r="D38" s="21">
        <f t="shared" si="15"/>
        <v>0.731713612</v>
      </c>
      <c r="E38" s="21">
        <f t="shared" si="15"/>
        <v>0.8361132627</v>
      </c>
      <c r="F38" s="1"/>
      <c r="G38" s="22"/>
      <c r="H38" s="8"/>
      <c r="I38" s="12"/>
      <c r="J38" s="12"/>
      <c r="K38" s="22"/>
      <c r="L38" s="1"/>
      <c r="M38" s="5"/>
      <c r="N38" s="5"/>
    </row>
    <row r="39">
      <c r="A39" s="7"/>
      <c r="B39" s="7"/>
      <c r="C39" s="8"/>
      <c r="D39" s="8"/>
      <c r="E39" s="8"/>
      <c r="F39" s="1"/>
      <c r="G39" s="22"/>
      <c r="H39" s="8"/>
      <c r="I39" s="12"/>
      <c r="J39" s="12"/>
      <c r="K39" s="22"/>
      <c r="L39" s="1"/>
      <c r="M39" s="5"/>
      <c r="N39" s="5"/>
    </row>
    <row r="40">
      <c r="A40" s="6" t="s">
        <v>38</v>
      </c>
      <c r="B40" s="10" t="s">
        <v>39</v>
      </c>
      <c r="C40" s="8">
        <v>1991862.0</v>
      </c>
      <c r="D40" s="8">
        <v>2112835.0</v>
      </c>
      <c r="E40" s="8">
        <v>2217080.0</v>
      </c>
      <c r="F40" s="1"/>
      <c r="G40" s="1"/>
      <c r="H40" s="1"/>
      <c r="I40" s="1"/>
      <c r="J40" s="1"/>
      <c r="K40" s="1"/>
      <c r="L40" s="1"/>
      <c r="M40" s="5"/>
      <c r="N40" s="5"/>
    </row>
    <row r="41">
      <c r="A41" s="7"/>
      <c r="B41" s="7" t="s">
        <v>40</v>
      </c>
      <c r="C41" s="22">
        <v>0.07</v>
      </c>
      <c r="D41" s="12">
        <v>0.065</v>
      </c>
      <c r="E41" s="12">
        <v>0.061</v>
      </c>
      <c r="F41" s="1"/>
      <c r="G41" s="1"/>
      <c r="H41" s="1"/>
      <c r="I41" s="1"/>
      <c r="J41" s="1"/>
      <c r="K41" s="1"/>
      <c r="L41" s="1"/>
      <c r="M41" s="5"/>
      <c r="N41" s="5"/>
    </row>
    <row r="42">
      <c r="A42" s="7"/>
      <c r="B42" s="7" t="s">
        <v>41</v>
      </c>
      <c r="C42" s="12">
        <f t="shared" ref="C42:E42" si="16">C17</f>
        <v>0.02357021771</v>
      </c>
      <c r="D42" s="12">
        <f t="shared" si="16"/>
        <v>0.056802732</v>
      </c>
      <c r="E42" s="12">
        <f t="shared" si="16"/>
        <v>0.0923497524</v>
      </c>
      <c r="F42" s="14"/>
      <c r="G42" s="15"/>
      <c r="N42" s="5"/>
    </row>
    <row r="43">
      <c r="A43" s="7"/>
      <c r="B43" s="7" t="s">
        <v>42</v>
      </c>
      <c r="C43" s="8">
        <f t="shared" ref="C43:E43" si="17">C40*(C42-C41)</f>
        <v>-92481.71901</v>
      </c>
      <c r="D43" s="8">
        <f t="shared" si="17"/>
        <v>-17319.47475</v>
      </c>
      <c r="E43" s="8">
        <f t="shared" si="17"/>
        <v>69504.90904</v>
      </c>
      <c r="F43" s="1"/>
      <c r="G43" s="1"/>
      <c r="H43" s="1"/>
      <c r="I43" s="1"/>
      <c r="J43" s="1"/>
      <c r="K43" s="1"/>
      <c r="L43" s="1"/>
      <c r="M43" s="5"/>
      <c r="N43" s="5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"/>
      <c r="N44" s="5"/>
    </row>
    <row r="45">
      <c r="A45" s="7"/>
      <c r="B45" s="7" t="s">
        <v>43</v>
      </c>
      <c r="C45" s="8"/>
      <c r="D45" s="8"/>
      <c r="E45" s="8"/>
      <c r="F45" s="14"/>
      <c r="G45" s="1"/>
      <c r="H45" s="1"/>
      <c r="I45" s="1"/>
      <c r="J45" s="1"/>
      <c r="K45" s="1"/>
      <c r="L45" s="1"/>
      <c r="M45" s="5"/>
      <c r="N45" s="5"/>
    </row>
    <row r="46">
      <c r="A46" s="7"/>
      <c r="B46" s="7" t="s">
        <v>44</v>
      </c>
      <c r="C46" s="8"/>
      <c r="D46" s="8"/>
      <c r="E46" s="8"/>
      <c r="F46" s="14"/>
      <c r="G46" s="15"/>
      <c r="L46" s="1"/>
      <c r="M46" s="5"/>
      <c r="N46" s="5"/>
    </row>
    <row r="47">
      <c r="A47" s="7"/>
      <c r="B47" s="7" t="s">
        <v>45</v>
      </c>
      <c r="C47" s="8">
        <v>362190.0</v>
      </c>
      <c r="D47" s="8">
        <v>507720.0</v>
      </c>
      <c r="E47" s="8">
        <v>690130.0</v>
      </c>
      <c r="F47" s="14"/>
      <c r="G47" s="1"/>
      <c r="H47" s="1"/>
      <c r="I47" s="1"/>
      <c r="J47" s="1"/>
      <c r="K47" s="1"/>
      <c r="L47" s="1"/>
      <c r="M47" s="5"/>
      <c r="N47" s="5"/>
    </row>
    <row r="48">
      <c r="A48" s="7"/>
      <c r="B48" s="7" t="s">
        <v>46</v>
      </c>
      <c r="C48" s="8">
        <v>445009.0</v>
      </c>
      <c r="D48" s="8">
        <v>489435.0</v>
      </c>
      <c r="E48" s="8">
        <v>735880.0</v>
      </c>
      <c r="F48" s="14"/>
      <c r="G48" s="1"/>
      <c r="H48" s="1"/>
      <c r="I48" s="1"/>
      <c r="J48" s="1"/>
      <c r="K48" s="1"/>
      <c r="L48" s="1"/>
      <c r="M48" s="5"/>
      <c r="N48" s="5"/>
    </row>
    <row r="49">
      <c r="A49" s="1"/>
      <c r="B49" s="7" t="s">
        <v>47</v>
      </c>
      <c r="C49" s="1">
        <f t="shared" ref="C49:E49" si="18">C47+C48-C40</f>
        <v>-1184663</v>
      </c>
      <c r="D49" s="1">
        <f t="shared" si="18"/>
        <v>-1115680</v>
      </c>
      <c r="E49" s="1">
        <f t="shared" si="18"/>
        <v>-791070</v>
      </c>
      <c r="F49" s="1"/>
      <c r="G49" s="1"/>
      <c r="H49" s="1"/>
      <c r="I49" s="1"/>
      <c r="J49" s="1"/>
      <c r="K49" s="1"/>
      <c r="L49" s="1"/>
      <c r="M49" s="5"/>
      <c r="N49" s="5"/>
    </row>
    <row r="50">
      <c r="A50" s="7"/>
      <c r="B50" s="7"/>
      <c r="C50" s="8"/>
      <c r="D50" s="8"/>
      <c r="E50" s="8"/>
      <c r="F50" s="1"/>
      <c r="G50" s="1"/>
      <c r="H50" s="1"/>
      <c r="I50" s="1"/>
      <c r="J50" s="1"/>
      <c r="K50" s="1"/>
      <c r="L50" s="1"/>
      <c r="M50" s="5"/>
      <c r="N50" s="5"/>
    </row>
  </sheetData>
  <mergeCells count="6">
    <mergeCell ref="G3:J3"/>
    <mergeCell ref="G17:N17"/>
    <mergeCell ref="G36:H36"/>
    <mergeCell ref="K37:L37"/>
    <mergeCell ref="G42:M42"/>
    <mergeCell ref="G46:K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0"/>
    <col customWidth="1" min="4" max="4" width="21.0"/>
    <col customWidth="1" min="5" max="5" width="19.88"/>
    <col customWidth="1" min="6" max="6" width="18.25"/>
    <col customWidth="1" min="7" max="7" width="61.63"/>
  </cols>
  <sheetData>
    <row r="1">
      <c r="A1" s="5"/>
      <c r="B1" s="5"/>
      <c r="C1" s="23" t="s">
        <v>48</v>
      </c>
      <c r="D1" s="24"/>
      <c r="E1" s="24"/>
      <c r="F1" s="24"/>
      <c r="G1" s="24"/>
      <c r="H1" s="24"/>
      <c r="I1" s="24"/>
      <c r="J1" s="25"/>
      <c r="K1" s="5"/>
      <c r="L1" s="5"/>
      <c r="M1" s="5"/>
      <c r="N1" s="5"/>
    </row>
    <row r="2">
      <c r="A2" s="5"/>
      <c r="B2" s="5"/>
      <c r="C2" s="26"/>
      <c r="J2" s="27"/>
      <c r="K2" s="5"/>
      <c r="L2" s="5"/>
      <c r="M2" s="5"/>
      <c r="N2" s="5"/>
    </row>
    <row r="3">
      <c r="A3" s="5"/>
      <c r="B3" s="5"/>
      <c r="C3" s="26"/>
      <c r="J3" s="27"/>
      <c r="K3" s="5"/>
      <c r="L3" s="5"/>
      <c r="M3" s="5"/>
      <c r="N3" s="5"/>
    </row>
    <row r="4">
      <c r="A4" s="5"/>
      <c r="B4" s="5"/>
      <c r="C4" s="26"/>
      <c r="J4" s="27"/>
      <c r="K4" s="28"/>
      <c r="L4" s="5"/>
      <c r="M4" s="5"/>
      <c r="N4" s="5"/>
    </row>
    <row r="5">
      <c r="A5" s="5"/>
      <c r="B5" s="5"/>
      <c r="C5" s="29"/>
      <c r="D5" s="30"/>
      <c r="E5" s="30"/>
      <c r="F5" s="30"/>
      <c r="G5" s="30"/>
      <c r="H5" s="30"/>
      <c r="I5" s="30"/>
      <c r="J5" s="31"/>
      <c r="K5" s="32"/>
      <c r="L5" s="5"/>
      <c r="M5" s="5"/>
      <c r="N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28"/>
      <c r="L6" s="5"/>
      <c r="M6" s="5"/>
      <c r="N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28"/>
      <c r="L7" s="5"/>
      <c r="M7" s="5"/>
      <c r="N7" s="5"/>
    </row>
    <row r="8">
      <c r="A8" s="5"/>
      <c r="B8" s="5"/>
      <c r="C8" s="33" t="s">
        <v>49</v>
      </c>
      <c r="D8" s="34">
        <v>45107.0</v>
      </c>
      <c r="E8" s="35">
        <v>44742.0</v>
      </c>
      <c r="F8" s="36">
        <v>44377.0</v>
      </c>
      <c r="G8" s="37" t="s">
        <v>50</v>
      </c>
      <c r="H8" s="38">
        <v>45107.0</v>
      </c>
      <c r="I8" s="39">
        <v>44742.0</v>
      </c>
      <c r="J8" s="40">
        <v>44377.0</v>
      </c>
      <c r="K8" s="28"/>
      <c r="L8" s="5"/>
      <c r="M8" s="5"/>
      <c r="N8" s="5"/>
    </row>
    <row r="9">
      <c r="A9" s="41" t="s">
        <v>51</v>
      </c>
      <c r="C9" s="42" t="s">
        <v>52</v>
      </c>
      <c r="D9" s="43"/>
      <c r="E9" s="43"/>
      <c r="F9" s="43"/>
      <c r="G9" s="44"/>
      <c r="H9" s="45"/>
      <c r="I9" s="46"/>
      <c r="J9" s="47"/>
      <c r="K9" s="48" t="s">
        <v>53</v>
      </c>
      <c r="M9" s="5"/>
      <c r="N9" s="5"/>
    </row>
    <row r="10">
      <c r="A10" s="49"/>
      <c r="B10" s="50"/>
      <c r="C10" s="51" t="s">
        <v>54</v>
      </c>
      <c r="D10" s="52"/>
      <c r="E10" s="52"/>
      <c r="F10" s="52"/>
      <c r="G10" s="53" t="s">
        <v>55</v>
      </c>
      <c r="H10" s="54">
        <v>57103.0</v>
      </c>
      <c r="I10" s="55">
        <v>57103.0</v>
      </c>
      <c r="J10" s="56">
        <v>57103.0</v>
      </c>
      <c r="K10" s="57"/>
      <c r="L10" s="58"/>
      <c r="M10" s="5"/>
      <c r="N10" s="5"/>
    </row>
    <row r="11">
      <c r="A11" s="49"/>
      <c r="B11" s="50"/>
      <c r="C11" s="59" t="s">
        <v>56</v>
      </c>
      <c r="D11" s="60">
        <v>384336.0</v>
      </c>
      <c r="E11" s="60">
        <v>400188.0</v>
      </c>
      <c r="F11" s="60">
        <v>468235.0</v>
      </c>
      <c r="G11" s="53" t="s">
        <v>57</v>
      </c>
      <c r="H11" s="54">
        <v>40103.0</v>
      </c>
      <c r="I11" s="55">
        <v>40101.0</v>
      </c>
      <c r="J11" s="56">
        <v>40103.0</v>
      </c>
      <c r="K11" s="57"/>
      <c r="L11" s="58"/>
      <c r="M11" s="5"/>
      <c r="N11" s="5"/>
    </row>
    <row r="12">
      <c r="A12" s="49"/>
      <c r="B12" s="50"/>
      <c r="C12" s="59" t="s">
        <v>58</v>
      </c>
      <c r="D12" s="60">
        <v>51733.0</v>
      </c>
      <c r="E12" s="60">
        <v>55721.0</v>
      </c>
      <c r="F12" s="60">
        <v>62381.0</v>
      </c>
      <c r="G12" s="53"/>
      <c r="H12" s="61"/>
      <c r="I12" s="62"/>
      <c r="J12" s="63"/>
      <c r="K12" s="57"/>
      <c r="L12" s="58"/>
      <c r="M12" s="5"/>
      <c r="N12" s="5"/>
    </row>
    <row r="13">
      <c r="A13" s="49"/>
      <c r="B13" s="50"/>
      <c r="C13" s="52"/>
      <c r="D13" s="52"/>
      <c r="E13" s="52"/>
      <c r="F13" s="52"/>
      <c r="G13" s="53" t="s">
        <v>59</v>
      </c>
      <c r="H13" s="54">
        <v>677256.0</v>
      </c>
      <c r="I13" s="55">
        <v>755206.0</v>
      </c>
      <c r="J13" s="56">
        <v>642561.0</v>
      </c>
      <c r="K13" s="57"/>
      <c r="L13" s="58"/>
      <c r="M13" s="5"/>
      <c r="N13" s="5"/>
    </row>
    <row r="14">
      <c r="A14" s="49"/>
      <c r="B14" s="50"/>
      <c r="C14" s="51" t="s">
        <v>60</v>
      </c>
      <c r="D14" s="60">
        <v>369154.0</v>
      </c>
      <c r="E14" s="60">
        <v>372082.0</v>
      </c>
      <c r="F14" s="60">
        <v>535619.0</v>
      </c>
      <c r="G14" s="53"/>
      <c r="H14" s="61"/>
      <c r="I14" s="62"/>
      <c r="J14" s="56"/>
      <c r="K14" s="57"/>
      <c r="L14" s="58"/>
      <c r="M14" s="5"/>
      <c r="N14" s="5"/>
    </row>
    <row r="15">
      <c r="A15" s="49"/>
      <c r="B15" s="50"/>
      <c r="C15" s="64"/>
      <c r="D15" s="64"/>
      <c r="E15" s="64"/>
      <c r="F15" s="64"/>
      <c r="G15" s="65" t="s">
        <v>61</v>
      </c>
      <c r="H15" s="66">
        <f t="shared" ref="H15:J15" si="1">H13+H11+H10</f>
        <v>774462</v>
      </c>
      <c r="I15" s="66">
        <f t="shared" si="1"/>
        <v>852410</v>
      </c>
      <c r="J15" s="67">
        <f t="shared" si="1"/>
        <v>739767</v>
      </c>
      <c r="K15" s="57"/>
      <c r="L15" s="58"/>
      <c r="M15" s="5"/>
      <c r="N15" s="5"/>
    </row>
    <row r="16">
      <c r="A16" s="49"/>
      <c r="B16" s="50"/>
      <c r="C16" s="68" t="s">
        <v>62</v>
      </c>
      <c r="D16" s="60">
        <v>65402.0</v>
      </c>
      <c r="E16" s="60">
        <v>79444.0</v>
      </c>
      <c r="F16" s="60">
        <v>83492.0</v>
      </c>
      <c r="G16" s="47"/>
      <c r="H16" s="45"/>
      <c r="I16" s="46"/>
      <c r="J16" s="47"/>
      <c r="K16" s="57"/>
      <c r="L16" s="58"/>
      <c r="M16" s="5"/>
      <c r="N16" s="5"/>
    </row>
    <row r="17">
      <c r="A17" s="49"/>
      <c r="B17" s="50"/>
      <c r="C17" s="69" t="s">
        <v>63</v>
      </c>
      <c r="D17" s="60">
        <v>94957.0</v>
      </c>
      <c r="E17" s="60">
        <v>84323.0</v>
      </c>
      <c r="F17" s="60">
        <v>5405.0</v>
      </c>
      <c r="G17" s="53" t="s">
        <v>64</v>
      </c>
      <c r="H17" s="70">
        <f t="shared" ref="H17:J17" si="2">H18-H15</f>
        <v>-6</v>
      </c>
      <c r="I17" s="70">
        <f t="shared" si="2"/>
        <v>-4</v>
      </c>
      <c r="J17" s="71">
        <f t="shared" si="2"/>
        <v>17</v>
      </c>
      <c r="K17" s="57"/>
      <c r="L17" s="58"/>
      <c r="M17" s="5"/>
      <c r="N17" s="5"/>
    </row>
    <row r="18">
      <c r="A18" s="49"/>
      <c r="B18" s="50"/>
      <c r="C18" s="72" t="s">
        <v>65</v>
      </c>
      <c r="D18" s="60">
        <v>5360.0</v>
      </c>
      <c r="E18" s="60">
        <v>3287.0</v>
      </c>
      <c r="F18" s="60">
        <v>13520.0</v>
      </c>
      <c r="G18" s="73" t="s">
        <v>66</v>
      </c>
      <c r="H18" s="74">
        <v>774456.0</v>
      </c>
      <c r="I18" s="75">
        <v>852406.0</v>
      </c>
      <c r="J18" s="76">
        <v>739784.0</v>
      </c>
      <c r="K18" s="57"/>
      <c r="L18" s="58"/>
      <c r="M18" s="5"/>
      <c r="N18" s="5"/>
    </row>
    <row r="19">
      <c r="A19" s="49"/>
      <c r="B19" s="50"/>
      <c r="C19" s="72" t="s">
        <v>67</v>
      </c>
      <c r="D19" s="60">
        <v>5712.0</v>
      </c>
      <c r="E19" s="60">
        <v>4187.0</v>
      </c>
      <c r="F19" s="60">
        <v>3171.0</v>
      </c>
      <c r="G19" s="47"/>
      <c r="H19" s="45"/>
      <c r="I19" s="46"/>
      <c r="J19" s="47"/>
      <c r="K19" s="57"/>
      <c r="L19" s="58"/>
      <c r="M19" s="5"/>
      <c r="N19" s="5"/>
    </row>
    <row r="20">
      <c r="A20" s="49"/>
      <c r="B20" s="50"/>
      <c r="C20" s="64"/>
      <c r="D20" s="64"/>
      <c r="E20" s="64"/>
      <c r="F20" s="64"/>
      <c r="G20" s="77" t="s">
        <v>68</v>
      </c>
      <c r="H20" s="78"/>
      <c r="I20" s="79"/>
      <c r="J20" s="80"/>
      <c r="K20" s="57"/>
      <c r="L20" s="58"/>
      <c r="M20" s="5"/>
      <c r="N20" s="5"/>
    </row>
    <row r="21">
      <c r="A21" s="49"/>
      <c r="B21" s="50"/>
      <c r="C21" s="64"/>
      <c r="D21" s="64"/>
      <c r="E21" s="64"/>
      <c r="F21" s="64"/>
      <c r="G21" s="53" t="s">
        <v>69</v>
      </c>
      <c r="H21" s="54">
        <v>9405.0</v>
      </c>
      <c r="I21" s="55">
        <v>9178.0</v>
      </c>
      <c r="J21" s="56">
        <v>10442.0</v>
      </c>
      <c r="K21" s="57"/>
      <c r="L21" s="58"/>
      <c r="M21" s="5"/>
      <c r="N21" s="5"/>
    </row>
    <row r="22">
      <c r="A22" s="49"/>
      <c r="B22" s="50"/>
      <c r="C22" s="81" t="s">
        <v>70</v>
      </c>
      <c r="D22" s="60">
        <v>12412.0</v>
      </c>
      <c r="E22" s="60">
        <v>15029.0</v>
      </c>
      <c r="F22" s="60">
        <v>31353.0</v>
      </c>
      <c r="G22" s="53" t="s">
        <v>71</v>
      </c>
      <c r="H22" s="54">
        <v>21688.0</v>
      </c>
      <c r="I22" s="55">
        <v>20855.0</v>
      </c>
      <c r="J22" s="56">
        <v>29641.0</v>
      </c>
      <c r="K22" s="57"/>
      <c r="L22" s="58"/>
      <c r="M22" s="5"/>
      <c r="N22" s="5"/>
    </row>
    <row r="23">
      <c r="A23" s="49"/>
      <c r="B23" s="50"/>
      <c r="C23" s="52"/>
      <c r="D23" s="52"/>
      <c r="E23" s="52"/>
      <c r="F23" s="52"/>
      <c r="G23" s="82" t="s">
        <v>72</v>
      </c>
      <c r="H23" s="54">
        <v>296947.0</v>
      </c>
      <c r="I23" s="55">
        <v>60102.0</v>
      </c>
      <c r="J23" s="56">
        <v>496268.0</v>
      </c>
      <c r="K23" s="57"/>
      <c r="L23" s="58"/>
      <c r="M23" s="5"/>
      <c r="N23" s="5"/>
    </row>
    <row r="24">
      <c r="A24" s="5"/>
      <c r="B24" s="83"/>
      <c r="C24" s="84" t="s">
        <v>66</v>
      </c>
      <c r="D24" s="85">
        <f t="shared" ref="D24:F24" si="3">D11+D12+D14+D16+D17+D18+D19+D22</f>
        <v>989066</v>
      </c>
      <c r="E24" s="85">
        <f t="shared" si="3"/>
        <v>1014261</v>
      </c>
      <c r="F24" s="85">
        <f t="shared" si="3"/>
        <v>1203176</v>
      </c>
      <c r="G24" s="53" t="s">
        <v>73</v>
      </c>
      <c r="H24" s="54">
        <v>3437.0</v>
      </c>
      <c r="I24" s="55">
        <v>3045.0</v>
      </c>
      <c r="J24" s="56">
        <v>11372.0</v>
      </c>
      <c r="K24" s="57"/>
      <c r="L24" s="58"/>
      <c r="M24" s="5"/>
      <c r="N24" s="5"/>
    </row>
    <row r="25">
      <c r="A25" s="86"/>
      <c r="B25" s="86"/>
      <c r="C25" s="87"/>
      <c r="D25" s="52"/>
      <c r="E25" s="52"/>
      <c r="F25" s="52"/>
      <c r="G25" s="88" t="s">
        <v>74</v>
      </c>
      <c r="H25" s="54">
        <v>62475.0</v>
      </c>
      <c r="I25" s="55">
        <v>76336.0</v>
      </c>
      <c r="J25" s="56">
        <v>67029.0</v>
      </c>
      <c r="K25" s="57"/>
      <c r="L25" s="58"/>
      <c r="M25" s="5"/>
      <c r="N25" s="5"/>
    </row>
    <row r="26">
      <c r="A26" s="86"/>
      <c r="B26" s="86"/>
      <c r="C26" s="87"/>
      <c r="D26" s="52"/>
      <c r="E26" s="52"/>
      <c r="F26" s="52"/>
      <c r="G26" s="89" t="s">
        <v>75</v>
      </c>
      <c r="H26" s="54">
        <v>26554.0</v>
      </c>
      <c r="I26" s="55">
        <v>25896.0</v>
      </c>
      <c r="J26" s="56">
        <v>25439.0</v>
      </c>
      <c r="K26" s="57"/>
      <c r="L26" s="58"/>
      <c r="M26" s="5"/>
      <c r="N26" s="5"/>
    </row>
    <row r="27">
      <c r="A27" s="90" t="s">
        <v>76</v>
      </c>
      <c r="C27" s="87" t="s">
        <v>77</v>
      </c>
      <c r="D27" s="52"/>
      <c r="E27" s="52"/>
      <c r="F27" s="52"/>
      <c r="G27" s="73" t="s">
        <v>78</v>
      </c>
      <c r="H27" s="91">
        <f t="shared" ref="H27:J27" si="4">H26+H25+H24+H23+H22+H21</f>
        <v>420506</v>
      </c>
      <c r="I27" s="91">
        <f t="shared" si="4"/>
        <v>195412</v>
      </c>
      <c r="J27" s="91">
        <f t="shared" si="4"/>
        <v>640191</v>
      </c>
      <c r="K27" s="57"/>
      <c r="L27" s="58"/>
      <c r="M27" s="5"/>
      <c r="N27" s="5"/>
    </row>
    <row r="28">
      <c r="A28" s="92"/>
      <c r="B28" s="92"/>
      <c r="C28" s="59" t="s">
        <v>79</v>
      </c>
      <c r="D28" s="52"/>
      <c r="E28" s="52"/>
      <c r="F28" s="52"/>
      <c r="G28" s="77" t="s">
        <v>80</v>
      </c>
      <c r="H28" s="45"/>
      <c r="I28" s="46"/>
      <c r="J28" s="47"/>
      <c r="K28" s="93" t="s">
        <v>81</v>
      </c>
      <c r="M28" s="5"/>
      <c r="N28" s="5"/>
    </row>
    <row r="29">
      <c r="A29" s="92"/>
      <c r="B29" s="92"/>
      <c r="C29" s="52"/>
      <c r="D29" s="94">
        <v>668080.0</v>
      </c>
      <c r="E29" s="94">
        <v>618296.0</v>
      </c>
      <c r="F29" s="95">
        <v>677057.0</v>
      </c>
      <c r="G29" s="82" t="s">
        <v>82</v>
      </c>
      <c r="H29" s="54">
        <v>75183.0</v>
      </c>
      <c r="I29" s="55">
        <v>60102.0</v>
      </c>
      <c r="J29" s="56">
        <v>150245.0</v>
      </c>
      <c r="K29" s="96"/>
      <c r="L29" s="97"/>
      <c r="M29" s="5"/>
      <c r="N29" s="5"/>
    </row>
    <row r="30">
      <c r="A30" s="92"/>
      <c r="B30" s="92"/>
      <c r="C30" s="59" t="s">
        <v>83</v>
      </c>
      <c r="D30" s="52"/>
      <c r="E30" s="52"/>
      <c r="F30" s="52"/>
      <c r="G30" s="82" t="s">
        <v>84</v>
      </c>
      <c r="H30" s="54">
        <v>16912.0</v>
      </c>
      <c r="I30" s="55">
        <v>18738.0</v>
      </c>
      <c r="J30" s="56">
        <v>17997.0</v>
      </c>
      <c r="K30" s="96"/>
      <c r="L30" s="97"/>
      <c r="M30" s="5"/>
      <c r="N30" s="5"/>
    </row>
    <row r="31">
      <c r="A31" s="92"/>
      <c r="B31" s="92"/>
      <c r="C31" s="59" t="s">
        <v>85</v>
      </c>
      <c r="D31" s="60">
        <v>305044.0</v>
      </c>
      <c r="E31" s="60">
        <v>343422.0</v>
      </c>
      <c r="F31" s="60">
        <v>311982.0</v>
      </c>
      <c r="G31" s="82" t="s">
        <v>86</v>
      </c>
      <c r="H31" s="54">
        <v>10524.0</v>
      </c>
      <c r="I31" s="55">
        <v>5033.0</v>
      </c>
      <c r="J31" s="56">
        <v>6625.0</v>
      </c>
      <c r="K31" s="96"/>
      <c r="L31" s="97"/>
      <c r="M31" s="5"/>
      <c r="N31" s="5"/>
    </row>
    <row r="32">
      <c r="A32" s="92"/>
      <c r="B32" s="92"/>
      <c r="C32" s="59" t="s">
        <v>87</v>
      </c>
      <c r="D32" s="60">
        <v>6260.0</v>
      </c>
      <c r="E32" s="60">
        <v>1914.0</v>
      </c>
      <c r="F32" s="60">
        <v>7952.0</v>
      </c>
      <c r="G32" s="82" t="s">
        <v>88</v>
      </c>
      <c r="H32" s="54">
        <v>687143.0</v>
      </c>
      <c r="I32" s="55">
        <v>690571.0</v>
      </c>
      <c r="J32" s="56">
        <v>653555.0</v>
      </c>
      <c r="K32" s="96"/>
      <c r="L32" s="97"/>
      <c r="M32" s="5"/>
      <c r="N32" s="5"/>
    </row>
    <row r="33">
      <c r="A33" s="92"/>
      <c r="B33" s="92"/>
      <c r="C33" s="59" t="s">
        <v>89</v>
      </c>
      <c r="D33" s="60">
        <v>11021.0</v>
      </c>
      <c r="E33" s="60">
        <v>5887.0</v>
      </c>
      <c r="F33" s="60">
        <v>8783.0</v>
      </c>
      <c r="G33" s="82" t="s">
        <v>90</v>
      </c>
      <c r="H33" s="54">
        <v>6643.0</v>
      </c>
      <c r="I33" s="55">
        <v>12127.0</v>
      </c>
      <c r="J33" s="56">
        <v>6337.0</v>
      </c>
      <c r="K33" s="96"/>
      <c r="L33" s="97"/>
      <c r="M33" s="5"/>
      <c r="N33" s="5"/>
    </row>
    <row r="34">
      <c r="A34" s="92"/>
      <c r="B34" s="92"/>
      <c r="C34" s="52"/>
      <c r="D34" s="52"/>
      <c r="E34" s="52"/>
      <c r="F34" s="52"/>
      <c r="G34" s="82" t="s">
        <v>91</v>
      </c>
      <c r="H34" s="54">
        <v>493.0</v>
      </c>
      <c r="I34" s="55">
        <v>422.0</v>
      </c>
      <c r="J34" s="56">
        <v>2345.0</v>
      </c>
      <c r="K34" s="96"/>
      <c r="L34" s="97"/>
      <c r="M34" s="5"/>
      <c r="N34" s="5"/>
    </row>
    <row r="35">
      <c r="A35" s="92"/>
      <c r="B35" s="92"/>
      <c r="C35" s="59" t="s">
        <v>92</v>
      </c>
      <c r="D35" s="60">
        <v>3382.0</v>
      </c>
      <c r="E35" s="60">
        <v>7790.0</v>
      </c>
      <c r="F35" s="60">
        <v>3237.0</v>
      </c>
      <c r="G35" s="73" t="s">
        <v>93</v>
      </c>
      <c r="H35" s="98">
        <f t="shared" ref="H35:J35" si="5">H34+H33+H32+H31+H30+H29</f>
        <v>796898</v>
      </c>
      <c r="I35" s="98">
        <f t="shared" si="5"/>
        <v>786993</v>
      </c>
      <c r="J35" s="98">
        <f t="shared" si="5"/>
        <v>837104</v>
      </c>
      <c r="K35" s="96"/>
      <c r="L35" s="97"/>
      <c r="M35" s="5"/>
      <c r="N35" s="5"/>
    </row>
    <row r="36">
      <c r="A36" s="99" t="s">
        <v>94</v>
      </c>
      <c r="B36" s="100"/>
      <c r="C36" s="59" t="s">
        <v>95</v>
      </c>
      <c r="D36" s="60">
        <v>9007.0</v>
      </c>
      <c r="E36" s="60">
        <v>121264.0</v>
      </c>
      <c r="F36" s="60">
        <v>4894.0</v>
      </c>
      <c r="G36" s="47"/>
      <c r="H36" s="46"/>
      <c r="I36" s="52"/>
      <c r="J36" s="47"/>
      <c r="K36" s="96"/>
      <c r="L36" s="97"/>
      <c r="M36" s="5"/>
      <c r="N36" s="5"/>
    </row>
    <row r="37">
      <c r="A37" s="5"/>
      <c r="B37" s="5"/>
      <c r="C37" s="84" t="s">
        <v>78</v>
      </c>
      <c r="D37" s="85">
        <f>D29+D31+D32+D33+D35+D36</f>
        <v>1002794</v>
      </c>
      <c r="E37" s="85">
        <f>E36+E35+E33+E32+E31+E29</f>
        <v>1098573</v>
      </c>
      <c r="F37" s="85">
        <f>F36+F35+F32+F33+F31+F29</f>
        <v>1013905</v>
      </c>
      <c r="G37" s="101" t="s">
        <v>96</v>
      </c>
      <c r="H37" s="62">
        <v>0.0</v>
      </c>
      <c r="I37" s="102">
        <v>0.0</v>
      </c>
      <c r="J37" s="63">
        <v>0.0</v>
      </c>
      <c r="K37" s="96"/>
      <c r="L37" s="97"/>
      <c r="M37" s="5"/>
      <c r="N37" s="5"/>
    </row>
    <row r="38">
      <c r="A38" s="5"/>
      <c r="B38" s="5"/>
      <c r="C38" s="59" t="s">
        <v>97</v>
      </c>
      <c r="D38" s="102">
        <v>0.0</v>
      </c>
      <c r="E38" s="102">
        <v>0.0</v>
      </c>
      <c r="F38" s="102">
        <v>200.0</v>
      </c>
      <c r="G38" s="103"/>
      <c r="H38" s="104"/>
      <c r="I38" s="104"/>
      <c r="J38" s="104"/>
      <c r="K38" s="97"/>
      <c r="L38" s="97"/>
      <c r="M38" s="5"/>
      <c r="N38" s="5"/>
    </row>
    <row r="39">
      <c r="A39" s="5"/>
      <c r="B39" s="5"/>
      <c r="C39" s="59" t="s">
        <v>98</v>
      </c>
      <c r="D39" s="102">
        <v>0.0</v>
      </c>
      <c r="E39" s="102">
        <v>0.0</v>
      </c>
      <c r="F39" s="102">
        <v>0.0</v>
      </c>
      <c r="G39" s="47"/>
      <c r="H39" s="46"/>
      <c r="I39" s="52"/>
      <c r="J39" s="47"/>
      <c r="K39" s="97"/>
      <c r="L39" s="97"/>
      <c r="M39" s="5"/>
      <c r="N39" s="5"/>
    </row>
    <row r="40">
      <c r="A40" s="5"/>
      <c r="B40" s="5"/>
      <c r="C40" s="84" t="s">
        <v>99</v>
      </c>
      <c r="D40" s="85">
        <f t="shared" ref="D40:F40" si="6">D24+D37</f>
        <v>1991860</v>
      </c>
      <c r="E40" s="85">
        <f t="shared" si="6"/>
        <v>2112834</v>
      </c>
      <c r="F40" s="85">
        <f t="shared" si="6"/>
        <v>2217081</v>
      </c>
      <c r="G40" s="105" t="s">
        <v>99</v>
      </c>
      <c r="H40" s="85">
        <f t="shared" ref="H40:J40" si="7">H35+H27</f>
        <v>1217404</v>
      </c>
      <c r="I40" s="85">
        <f t="shared" si="7"/>
        <v>982405</v>
      </c>
      <c r="J40" s="106">
        <f t="shared" si="7"/>
        <v>1477295</v>
      </c>
      <c r="K40" s="5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</sheetData>
  <mergeCells count="5">
    <mergeCell ref="C1:J5"/>
    <mergeCell ref="A9:B9"/>
    <mergeCell ref="K9:L9"/>
    <mergeCell ref="A27:B27"/>
    <mergeCell ref="K28:L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7" t="s">
        <v>100</v>
      </c>
      <c r="B1" s="107" t="s">
        <v>101</v>
      </c>
      <c r="C1" s="107" t="s">
        <v>102</v>
      </c>
    </row>
    <row r="2">
      <c r="A2" s="108">
        <v>44284.0</v>
      </c>
      <c r="B2" s="109">
        <v>20.288828</v>
      </c>
      <c r="C2" s="110">
        <v>6731.0</v>
      </c>
    </row>
    <row r="3">
      <c r="A3" s="108">
        <v>44285.0</v>
      </c>
      <c r="B3" s="109">
        <v>20.52257</v>
      </c>
      <c r="C3" s="110">
        <v>7852.0</v>
      </c>
      <c r="E3" s="111" t="s">
        <v>103</v>
      </c>
    </row>
    <row r="4">
      <c r="A4" s="108">
        <v>44286.0</v>
      </c>
      <c r="B4" s="109">
        <v>20.008335</v>
      </c>
      <c r="C4" s="110">
        <v>18232.0</v>
      </c>
      <c r="E4" s="112">
        <f>AVERAGE(B2:B773)</f>
        <v>14.46822597</v>
      </c>
    </row>
    <row r="5">
      <c r="A5" s="108">
        <v>44287.0</v>
      </c>
      <c r="B5" s="109">
        <v>20.288828</v>
      </c>
      <c r="C5" s="110">
        <v>33764.0</v>
      </c>
    </row>
    <row r="6">
      <c r="A6" s="108">
        <v>44292.0</v>
      </c>
      <c r="B6" s="109">
        <v>20.335575</v>
      </c>
      <c r="C6" s="110">
        <v>18888.0</v>
      </c>
    </row>
    <row r="7">
      <c r="A7" s="108">
        <v>44293.0</v>
      </c>
      <c r="B7" s="109">
        <v>20.195332</v>
      </c>
      <c r="C7" s="110">
        <v>14371.0</v>
      </c>
    </row>
    <row r="8">
      <c r="A8" s="108">
        <v>44294.0</v>
      </c>
      <c r="B8" s="109">
        <v>20.148582</v>
      </c>
      <c r="C8" s="110">
        <v>12101.0</v>
      </c>
    </row>
    <row r="9">
      <c r="A9" s="108">
        <v>44295.0</v>
      </c>
      <c r="B9" s="109">
        <v>19.961588</v>
      </c>
      <c r="C9" s="110">
        <v>18378.0</v>
      </c>
    </row>
    <row r="10">
      <c r="A10" s="108">
        <v>44298.0</v>
      </c>
      <c r="B10" s="109">
        <v>20.055084</v>
      </c>
      <c r="C10" s="110">
        <v>19238.0</v>
      </c>
    </row>
    <row r="11">
      <c r="A11" s="108">
        <v>44299.0</v>
      </c>
      <c r="B11" s="109">
        <v>19.961588</v>
      </c>
      <c r="C11" s="110">
        <v>31701.0</v>
      </c>
    </row>
    <row r="12">
      <c r="A12" s="108">
        <v>44300.0</v>
      </c>
      <c r="B12" s="109">
        <v>19.774595</v>
      </c>
      <c r="C12" s="110">
        <v>13182.0</v>
      </c>
    </row>
    <row r="13">
      <c r="A13" s="108">
        <v>44301.0</v>
      </c>
      <c r="B13" s="109">
        <v>19.868092</v>
      </c>
      <c r="C13" s="110">
        <v>12196.0</v>
      </c>
    </row>
    <row r="14">
      <c r="A14" s="108">
        <v>44302.0</v>
      </c>
      <c r="B14" s="109">
        <v>19.868092</v>
      </c>
      <c r="C14" s="110">
        <v>9975.0</v>
      </c>
    </row>
    <row r="15">
      <c r="A15" s="108">
        <v>44305.0</v>
      </c>
      <c r="B15" s="109">
        <v>19.961588</v>
      </c>
      <c r="C15" s="110">
        <v>16874.0</v>
      </c>
    </row>
    <row r="16">
      <c r="A16" s="108">
        <v>44306.0</v>
      </c>
      <c r="B16" s="109">
        <v>19.821344</v>
      </c>
      <c r="C16" s="110">
        <v>17161.0</v>
      </c>
    </row>
    <row r="17">
      <c r="A17" s="108">
        <v>44307.0</v>
      </c>
      <c r="B17" s="109">
        <v>20.242079</v>
      </c>
      <c r="C17" s="110">
        <v>26687.0</v>
      </c>
    </row>
    <row r="18">
      <c r="A18" s="108">
        <v>44308.0</v>
      </c>
      <c r="B18" s="109">
        <v>20.195332</v>
      </c>
      <c r="C18" s="110">
        <v>13408.0</v>
      </c>
    </row>
    <row r="19">
      <c r="A19" s="108">
        <v>44309.0</v>
      </c>
      <c r="B19" s="109">
        <v>19.914841</v>
      </c>
      <c r="C19" s="110">
        <v>12538.0</v>
      </c>
    </row>
    <row r="20">
      <c r="A20" s="108">
        <v>44312.0</v>
      </c>
      <c r="B20" s="109">
        <v>20.008335</v>
      </c>
      <c r="C20" s="110">
        <v>11286.0</v>
      </c>
    </row>
    <row r="21">
      <c r="A21" s="108">
        <v>44313.0</v>
      </c>
      <c r="B21" s="109">
        <v>19.868092</v>
      </c>
      <c r="C21" s="110">
        <v>7375.0</v>
      </c>
    </row>
    <row r="22">
      <c r="A22" s="108">
        <v>44314.0</v>
      </c>
      <c r="B22" s="109">
        <v>20.242079</v>
      </c>
      <c r="C22" s="110">
        <v>19420.0</v>
      </c>
    </row>
    <row r="23">
      <c r="A23" s="108">
        <v>44315.0</v>
      </c>
      <c r="B23" s="109">
        <v>20.429073</v>
      </c>
      <c r="C23" s="110">
        <v>18556.0</v>
      </c>
    </row>
    <row r="24">
      <c r="A24" s="108">
        <v>44316.0</v>
      </c>
      <c r="B24" s="109">
        <v>20.52257</v>
      </c>
      <c r="C24" s="110">
        <v>15640.0</v>
      </c>
    </row>
    <row r="25">
      <c r="A25" s="108">
        <v>44319.0</v>
      </c>
      <c r="B25" s="109">
        <v>20.288828</v>
      </c>
      <c r="C25" s="110">
        <v>16898.0</v>
      </c>
    </row>
    <row r="26">
      <c r="A26" s="108">
        <v>44320.0</v>
      </c>
      <c r="B26" s="109">
        <v>20.101833</v>
      </c>
      <c r="C26" s="110">
        <v>33401.0</v>
      </c>
    </row>
    <row r="27">
      <c r="A27" s="108">
        <v>44321.0</v>
      </c>
      <c r="B27" s="109">
        <v>19.961588</v>
      </c>
      <c r="C27" s="110">
        <v>20499.0</v>
      </c>
    </row>
    <row r="28">
      <c r="A28" s="108">
        <v>44322.0</v>
      </c>
      <c r="B28" s="109">
        <v>19.961588</v>
      </c>
      <c r="C28" s="110">
        <v>15595.0</v>
      </c>
    </row>
    <row r="29">
      <c r="A29" s="108">
        <v>44323.0</v>
      </c>
      <c r="B29" s="109">
        <v>19.914841</v>
      </c>
      <c r="C29" s="110">
        <v>15042.0</v>
      </c>
    </row>
    <row r="30">
      <c r="A30" s="108">
        <v>44326.0</v>
      </c>
      <c r="B30" s="109">
        <v>21.083549</v>
      </c>
      <c r="C30" s="110">
        <v>65371.0</v>
      </c>
    </row>
    <row r="31">
      <c r="A31" s="108">
        <v>44327.0</v>
      </c>
      <c r="B31" s="109">
        <v>22.345758</v>
      </c>
      <c r="C31" s="110">
        <v>109313.0</v>
      </c>
    </row>
    <row r="32">
      <c r="A32" s="108">
        <v>44328.0</v>
      </c>
      <c r="B32" s="109">
        <v>21.317291</v>
      </c>
      <c r="C32" s="110">
        <v>36491.0</v>
      </c>
    </row>
    <row r="33">
      <c r="A33" s="108">
        <v>44329.0</v>
      </c>
      <c r="B33" s="109">
        <v>21.223797</v>
      </c>
      <c r="C33" s="110">
        <v>17533.0</v>
      </c>
    </row>
    <row r="34">
      <c r="A34" s="108">
        <v>44330.0</v>
      </c>
      <c r="B34" s="109">
        <v>21.083549</v>
      </c>
      <c r="C34" s="110">
        <v>12127.0</v>
      </c>
    </row>
    <row r="35">
      <c r="A35" s="108">
        <v>44333.0</v>
      </c>
      <c r="B35" s="109">
        <v>21.083549</v>
      </c>
      <c r="C35" s="110">
        <v>8099.0</v>
      </c>
    </row>
    <row r="36">
      <c r="A36" s="108">
        <v>44334.0</v>
      </c>
      <c r="B36" s="109">
        <v>21.223797</v>
      </c>
      <c r="C36" s="110">
        <v>11497.0</v>
      </c>
    </row>
    <row r="37">
      <c r="A37" s="108">
        <v>44335.0</v>
      </c>
      <c r="B37" s="109">
        <v>20.756313</v>
      </c>
      <c r="C37" s="110">
        <v>15139.0</v>
      </c>
    </row>
    <row r="38">
      <c r="A38" s="108">
        <v>44336.0</v>
      </c>
      <c r="B38" s="109">
        <v>20.52257</v>
      </c>
      <c r="C38" s="110">
        <v>12655.0</v>
      </c>
    </row>
    <row r="39">
      <c r="A39" s="108">
        <v>44337.0</v>
      </c>
      <c r="B39" s="109">
        <v>20.429073</v>
      </c>
      <c r="C39" s="110">
        <v>14461.0</v>
      </c>
    </row>
    <row r="40">
      <c r="A40" s="108">
        <v>44340.0</v>
      </c>
      <c r="B40" s="109">
        <v>20.382322</v>
      </c>
      <c r="C40" s="110">
        <v>13112.0</v>
      </c>
    </row>
    <row r="41">
      <c r="A41" s="108">
        <v>44341.0</v>
      </c>
      <c r="B41" s="109">
        <v>20.148582</v>
      </c>
      <c r="C41" s="110">
        <v>19589.0</v>
      </c>
    </row>
    <row r="42">
      <c r="A42" s="108">
        <v>44342.0</v>
      </c>
      <c r="B42" s="109">
        <v>20.335575</v>
      </c>
      <c r="C42" s="110">
        <v>16536.0</v>
      </c>
    </row>
    <row r="43">
      <c r="A43" s="108">
        <v>44343.0</v>
      </c>
      <c r="B43" s="109">
        <v>20.849808</v>
      </c>
      <c r="C43" s="110">
        <v>100019.0</v>
      </c>
    </row>
    <row r="44">
      <c r="A44" s="108">
        <v>44344.0</v>
      </c>
      <c r="B44" s="109">
        <v>20.52257</v>
      </c>
      <c r="C44" s="110">
        <v>11099.0</v>
      </c>
    </row>
    <row r="45">
      <c r="A45" s="108">
        <v>44347.0</v>
      </c>
      <c r="B45" s="109">
        <v>20.52257</v>
      </c>
      <c r="C45" s="110">
        <v>8529.0</v>
      </c>
    </row>
    <row r="46">
      <c r="A46" s="108">
        <v>44348.0</v>
      </c>
      <c r="B46" s="109">
        <v>20.943304</v>
      </c>
      <c r="C46" s="110">
        <v>10312.0</v>
      </c>
    </row>
    <row r="47">
      <c r="A47" s="108">
        <v>44349.0</v>
      </c>
      <c r="B47" s="109">
        <v>20.943304</v>
      </c>
      <c r="C47" s="110">
        <v>6685.0</v>
      </c>
    </row>
    <row r="48">
      <c r="A48" s="108">
        <v>44350.0</v>
      </c>
      <c r="B48" s="109">
        <v>20.803061</v>
      </c>
      <c r="C48" s="110">
        <v>8796.0</v>
      </c>
    </row>
    <row r="49">
      <c r="A49" s="108">
        <v>44351.0</v>
      </c>
      <c r="B49" s="109">
        <v>21.130299</v>
      </c>
      <c r="C49" s="110">
        <v>11174.0</v>
      </c>
    </row>
    <row r="50">
      <c r="A50" s="108">
        <v>44354.0</v>
      </c>
      <c r="B50" s="109">
        <v>20.943304</v>
      </c>
      <c r="C50" s="110">
        <v>5976.0</v>
      </c>
    </row>
    <row r="51">
      <c r="A51" s="108">
        <v>44355.0</v>
      </c>
      <c r="B51" s="109">
        <v>20.990055</v>
      </c>
      <c r="C51" s="110">
        <v>10029.0</v>
      </c>
    </row>
    <row r="52">
      <c r="A52" s="108">
        <v>44356.0</v>
      </c>
      <c r="B52" s="109">
        <v>20.569319</v>
      </c>
      <c r="C52" s="110">
        <v>13422.0</v>
      </c>
    </row>
    <row r="53">
      <c r="A53" s="108">
        <v>44357.0</v>
      </c>
      <c r="B53" s="109">
        <v>20.382322</v>
      </c>
      <c r="C53" s="110">
        <v>18440.0</v>
      </c>
    </row>
    <row r="54">
      <c r="A54" s="108">
        <v>44358.0</v>
      </c>
      <c r="B54" s="109">
        <v>20.803061</v>
      </c>
      <c r="C54" s="110">
        <v>17227.0</v>
      </c>
    </row>
    <row r="55">
      <c r="A55" s="108">
        <v>44361.0</v>
      </c>
      <c r="B55" s="109">
        <v>21.223797</v>
      </c>
      <c r="C55" s="110">
        <v>23999.0</v>
      </c>
    </row>
    <row r="56">
      <c r="A56" s="108">
        <v>44362.0</v>
      </c>
      <c r="B56" s="109">
        <v>20.849808</v>
      </c>
      <c r="C56" s="110">
        <v>9805.0</v>
      </c>
    </row>
    <row r="57">
      <c r="A57" s="108">
        <v>44363.0</v>
      </c>
      <c r="B57" s="109">
        <v>20.943304</v>
      </c>
      <c r="C57" s="110">
        <v>13671.0</v>
      </c>
    </row>
    <row r="58">
      <c r="A58" s="108">
        <v>44364.0</v>
      </c>
      <c r="B58" s="109">
        <v>20.803061</v>
      </c>
      <c r="C58" s="110">
        <v>7987.0</v>
      </c>
    </row>
    <row r="59">
      <c r="A59" s="108">
        <v>44365.0</v>
      </c>
      <c r="B59" s="109">
        <v>20.335575</v>
      </c>
      <c r="C59" s="110">
        <v>20837.0</v>
      </c>
    </row>
    <row r="60">
      <c r="A60" s="108">
        <v>44368.0</v>
      </c>
      <c r="B60" s="109">
        <v>20.008335</v>
      </c>
      <c r="C60" s="110">
        <v>20618.0</v>
      </c>
    </row>
    <row r="61">
      <c r="A61" s="108">
        <v>44369.0</v>
      </c>
      <c r="B61" s="109">
        <v>20.616066</v>
      </c>
      <c r="C61" s="110">
        <v>23922.0</v>
      </c>
    </row>
    <row r="62">
      <c r="A62" s="108">
        <v>44370.0</v>
      </c>
      <c r="B62" s="109">
        <v>20.195332</v>
      </c>
      <c r="C62" s="110">
        <v>16115.0</v>
      </c>
    </row>
    <row r="63">
      <c r="A63" s="108">
        <v>44371.0</v>
      </c>
      <c r="B63" s="109">
        <v>20.195332</v>
      </c>
      <c r="C63" s="110">
        <v>17337.0</v>
      </c>
    </row>
    <row r="64">
      <c r="A64" s="108">
        <v>44372.0</v>
      </c>
      <c r="B64" s="109">
        <v>20.335575</v>
      </c>
      <c r="C64" s="110">
        <v>4747.0</v>
      </c>
    </row>
    <row r="65">
      <c r="A65" s="108">
        <v>44375.0</v>
      </c>
      <c r="B65" s="109">
        <v>20.148582</v>
      </c>
      <c r="C65" s="110">
        <v>12158.0</v>
      </c>
    </row>
    <row r="66">
      <c r="A66" s="108">
        <v>44376.0</v>
      </c>
      <c r="B66" s="109">
        <v>20.101833</v>
      </c>
      <c r="C66" s="110">
        <v>11586.0</v>
      </c>
    </row>
    <row r="67">
      <c r="A67" s="108">
        <v>44377.0</v>
      </c>
      <c r="B67" s="109">
        <v>19.774595</v>
      </c>
      <c r="C67" s="110">
        <v>12677.0</v>
      </c>
    </row>
    <row r="68">
      <c r="A68" s="108">
        <v>44378.0</v>
      </c>
      <c r="B68" s="109">
        <v>19.868092</v>
      </c>
      <c r="C68" s="110">
        <v>10302.0</v>
      </c>
    </row>
    <row r="69">
      <c r="A69" s="108">
        <v>44379.0</v>
      </c>
      <c r="B69" s="109">
        <v>20.008335</v>
      </c>
      <c r="C69" s="110">
        <v>2558.0</v>
      </c>
    </row>
    <row r="70">
      <c r="A70" s="108">
        <v>44382.0</v>
      </c>
      <c r="B70" s="109">
        <v>20.101833</v>
      </c>
      <c r="C70" s="110">
        <v>6118.0</v>
      </c>
    </row>
    <row r="71">
      <c r="A71" s="108">
        <v>44383.0</v>
      </c>
      <c r="B71" s="109">
        <v>19.868092</v>
      </c>
      <c r="C71" s="110">
        <v>8152.0</v>
      </c>
    </row>
    <row r="72">
      <c r="A72" s="108">
        <v>44384.0</v>
      </c>
      <c r="B72" s="109">
        <v>19.774595</v>
      </c>
      <c r="C72" s="110">
        <v>4997.0</v>
      </c>
    </row>
    <row r="73">
      <c r="A73" s="108">
        <v>44385.0</v>
      </c>
      <c r="B73" s="109">
        <v>19.681095</v>
      </c>
      <c r="C73" s="110">
        <v>15476.0</v>
      </c>
    </row>
    <row r="74">
      <c r="A74" s="108">
        <v>44386.0</v>
      </c>
      <c r="B74" s="109">
        <v>19.821344</v>
      </c>
      <c r="C74" s="110">
        <v>6461.0</v>
      </c>
    </row>
    <row r="75">
      <c r="A75" s="108">
        <v>44389.0</v>
      </c>
      <c r="B75" s="109">
        <v>19.540852</v>
      </c>
      <c r="C75" s="110">
        <v>14244.0</v>
      </c>
    </row>
    <row r="76">
      <c r="A76" s="108">
        <v>44390.0</v>
      </c>
      <c r="B76" s="109">
        <v>20.055084</v>
      </c>
      <c r="C76" s="110">
        <v>10305.0</v>
      </c>
    </row>
    <row r="77">
      <c r="A77" s="108">
        <v>44391.0</v>
      </c>
      <c r="B77" s="109">
        <v>19.494106</v>
      </c>
      <c r="C77" s="110">
        <v>10086.0</v>
      </c>
    </row>
    <row r="78">
      <c r="A78" s="108">
        <v>44392.0</v>
      </c>
      <c r="B78" s="109">
        <v>19.353859</v>
      </c>
      <c r="C78" s="110">
        <v>11793.0</v>
      </c>
    </row>
    <row r="79">
      <c r="A79" s="108">
        <v>44393.0</v>
      </c>
      <c r="B79" s="109">
        <v>19.587601</v>
      </c>
      <c r="C79" s="110">
        <v>10142.0</v>
      </c>
    </row>
    <row r="80">
      <c r="A80" s="108">
        <v>44396.0</v>
      </c>
      <c r="B80" s="109">
        <v>19.026619</v>
      </c>
      <c r="C80" s="110">
        <v>15813.0</v>
      </c>
    </row>
    <row r="81">
      <c r="A81" s="108">
        <v>44397.0</v>
      </c>
      <c r="B81" s="109">
        <v>19.073368</v>
      </c>
      <c r="C81" s="110">
        <v>10730.0</v>
      </c>
    </row>
    <row r="82">
      <c r="A82" s="108">
        <v>44398.0</v>
      </c>
      <c r="B82" s="109">
        <v>19.166864</v>
      </c>
      <c r="C82" s="110">
        <v>4420.0</v>
      </c>
    </row>
    <row r="83">
      <c r="A83" s="108">
        <v>44399.0</v>
      </c>
      <c r="B83" s="109">
        <v>19.447353</v>
      </c>
      <c r="C83" s="110">
        <v>6681.0</v>
      </c>
    </row>
    <row r="84">
      <c r="A84" s="108">
        <v>44400.0</v>
      </c>
      <c r="B84" s="109">
        <v>19.587601</v>
      </c>
      <c r="C84" s="110">
        <v>2915.0</v>
      </c>
    </row>
    <row r="85">
      <c r="A85" s="108">
        <v>44403.0</v>
      </c>
      <c r="B85" s="109">
        <v>19.587601</v>
      </c>
      <c r="C85" s="110">
        <v>10914.0</v>
      </c>
    </row>
    <row r="86">
      <c r="A86" s="108">
        <v>44404.0</v>
      </c>
      <c r="B86" s="109">
        <v>19.400606</v>
      </c>
      <c r="C86" s="110">
        <v>7185.0</v>
      </c>
    </row>
    <row r="87">
      <c r="A87" s="108">
        <v>44405.0</v>
      </c>
      <c r="B87" s="109">
        <v>19.727846</v>
      </c>
      <c r="C87" s="110">
        <v>9407.0</v>
      </c>
    </row>
    <row r="88">
      <c r="A88" s="108">
        <v>44406.0</v>
      </c>
      <c r="B88" s="109">
        <v>19.587601</v>
      </c>
      <c r="C88" s="110">
        <v>5735.0</v>
      </c>
    </row>
    <row r="89">
      <c r="A89" s="108">
        <v>44407.0</v>
      </c>
      <c r="B89" s="109">
        <v>19.727846</v>
      </c>
      <c r="C89" s="110">
        <v>5051.0</v>
      </c>
    </row>
    <row r="90">
      <c r="A90" s="108">
        <v>44410.0</v>
      </c>
      <c r="B90" s="109">
        <v>19.727846</v>
      </c>
      <c r="C90" s="110">
        <v>6668.0</v>
      </c>
    </row>
    <row r="91">
      <c r="A91" s="108">
        <v>44411.0</v>
      </c>
      <c r="B91" s="109">
        <v>19.400606</v>
      </c>
      <c r="C91" s="110">
        <v>22848.0</v>
      </c>
    </row>
    <row r="92">
      <c r="A92" s="108">
        <v>44412.0</v>
      </c>
      <c r="B92" s="109">
        <v>19.634348</v>
      </c>
      <c r="C92" s="110">
        <v>16821.0</v>
      </c>
    </row>
    <row r="93">
      <c r="A93" s="108">
        <v>44413.0</v>
      </c>
      <c r="B93" s="109">
        <v>19.727846</v>
      </c>
      <c r="C93" s="110">
        <v>9166.0</v>
      </c>
    </row>
    <row r="94">
      <c r="A94" s="108">
        <v>44414.0</v>
      </c>
      <c r="B94" s="109">
        <v>19.634348</v>
      </c>
      <c r="C94" s="110">
        <v>14452.0</v>
      </c>
    </row>
    <row r="95">
      <c r="A95" s="108">
        <v>44417.0</v>
      </c>
      <c r="B95" s="109">
        <v>19.447353</v>
      </c>
      <c r="C95" s="110">
        <v>7171.0</v>
      </c>
    </row>
    <row r="96">
      <c r="A96" s="108">
        <v>44418.0</v>
      </c>
      <c r="B96" s="109">
        <v>19.634348</v>
      </c>
      <c r="C96" s="110">
        <v>5517.0</v>
      </c>
    </row>
    <row r="97">
      <c r="A97" s="108">
        <v>44419.0</v>
      </c>
      <c r="B97" s="109">
        <v>20.429073</v>
      </c>
      <c r="C97" s="110">
        <v>19493.0</v>
      </c>
    </row>
    <row r="98">
      <c r="A98" s="108">
        <v>44420.0</v>
      </c>
      <c r="B98" s="109">
        <v>20.148582</v>
      </c>
      <c r="C98" s="110">
        <v>9742.0</v>
      </c>
    </row>
    <row r="99">
      <c r="A99" s="108">
        <v>44421.0</v>
      </c>
      <c r="B99" s="109">
        <v>19.914841</v>
      </c>
      <c r="C99" s="110">
        <v>6706.0</v>
      </c>
    </row>
    <row r="100">
      <c r="A100" s="108">
        <v>44424.0</v>
      </c>
      <c r="B100" s="109">
        <v>19.727846</v>
      </c>
      <c r="C100" s="110">
        <v>4173.0</v>
      </c>
    </row>
    <row r="101">
      <c r="A101" s="108">
        <v>44425.0</v>
      </c>
      <c r="B101" s="109">
        <v>20.055084</v>
      </c>
      <c r="C101" s="110">
        <v>17228.0</v>
      </c>
    </row>
    <row r="102">
      <c r="A102" s="108">
        <v>44426.0</v>
      </c>
      <c r="B102" s="109">
        <v>20.429073</v>
      </c>
      <c r="C102" s="110">
        <v>15559.0</v>
      </c>
    </row>
    <row r="103">
      <c r="A103" s="108">
        <v>44427.0</v>
      </c>
      <c r="B103" s="109">
        <v>19.821344</v>
      </c>
      <c r="C103" s="110">
        <v>9317.0</v>
      </c>
    </row>
    <row r="104">
      <c r="A104" s="108">
        <v>44428.0</v>
      </c>
      <c r="B104" s="109">
        <v>19.868092</v>
      </c>
      <c r="C104" s="110">
        <v>6134.0</v>
      </c>
    </row>
    <row r="105">
      <c r="A105" s="108">
        <v>44431.0</v>
      </c>
      <c r="B105" s="109">
        <v>20.242079</v>
      </c>
      <c r="C105" s="110">
        <v>7070.0</v>
      </c>
    </row>
    <row r="106">
      <c r="A106" s="108">
        <v>44432.0</v>
      </c>
      <c r="B106" s="109">
        <v>19.868092</v>
      </c>
      <c r="C106" s="110">
        <v>6970.0</v>
      </c>
    </row>
    <row r="107">
      <c r="A107" s="108">
        <v>44433.0</v>
      </c>
      <c r="B107" s="109">
        <v>20.756313</v>
      </c>
      <c r="C107" s="110">
        <v>34113.0</v>
      </c>
    </row>
    <row r="108">
      <c r="A108" s="108">
        <v>44434.0</v>
      </c>
      <c r="B108" s="109">
        <v>20.849808</v>
      </c>
      <c r="C108" s="110">
        <v>11741.0</v>
      </c>
    </row>
    <row r="109">
      <c r="A109" s="108">
        <v>44435.0</v>
      </c>
      <c r="B109" s="109">
        <v>21.410791</v>
      </c>
      <c r="C109" s="110">
        <v>25133.0</v>
      </c>
    </row>
    <row r="110">
      <c r="A110" s="108">
        <v>44438.0</v>
      </c>
      <c r="B110" s="109">
        <v>21.410791</v>
      </c>
      <c r="C110" s="110">
        <v>18756.0</v>
      </c>
    </row>
    <row r="111">
      <c r="A111" s="108">
        <v>44439.0</v>
      </c>
      <c r="B111" s="109">
        <v>21.410791</v>
      </c>
      <c r="C111" s="110">
        <v>29773.0</v>
      </c>
    </row>
    <row r="112">
      <c r="A112" s="108">
        <v>44440.0</v>
      </c>
      <c r="B112" s="109">
        <v>21.504286</v>
      </c>
      <c r="C112" s="110">
        <v>24051.0</v>
      </c>
    </row>
    <row r="113">
      <c r="A113" s="108">
        <v>44441.0</v>
      </c>
      <c r="B113" s="109">
        <v>21.551033</v>
      </c>
      <c r="C113" s="110">
        <v>15523.0</v>
      </c>
    </row>
    <row r="114">
      <c r="A114" s="108">
        <v>44442.0</v>
      </c>
      <c r="B114" s="109">
        <v>21.457541</v>
      </c>
      <c r="C114" s="110">
        <v>7209.0</v>
      </c>
    </row>
    <row r="115">
      <c r="A115" s="108">
        <v>44445.0</v>
      </c>
      <c r="B115" s="109">
        <v>20.849808</v>
      </c>
      <c r="C115" s="110">
        <v>15594.0</v>
      </c>
    </row>
    <row r="116">
      <c r="A116" s="108">
        <v>44446.0</v>
      </c>
      <c r="B116" s="109">
        <v>20.709562</v>
      </c>
      <c r="C116" s="110">
        <v>4156.0</v>
      </c>
    </row>
    <row r="117">
      <c r="A117" s="108">
        <v>44447.0</v>
      </c>
      <c r="B117" s="109">
        <v>20.709562</v>
      </c>
      <c r="C117" s="110">
        <v>14105.0</v>
      </c>
    </row>
    <row r="118">
      <c r="A118" s="108">
        <v>44448.0</v>
      </c>
      <c r="B118" s="109">
        <v>20.756313</v>
      </c>
      <c r="C118" s="110">
        <v>7943.0</v>
      </c>
    </row>
    <row r="119">
      <c r="A119" s="108">
        <v>44449.0</v>
      </c>
      <c r="B119" s="109">
        <v>20.709562</v>
      </c>
      <c r="C119" s="110">
        <v>6908.0</v>
      </c>
    </row>
    <row r="120">
      <c r="A120" s="108">
        <v>44452.0</v>
      </c>
      <c r="B120" s="109">
        <v>20.756313</v>
      </c>
      <c r="C120" s="110">
        <v>2147.0</v>
      </c>
    </row>
    <row r="121">
      <c r="A121" s="108">
        <v>44453.0</v>
      </c>
      <c r="B121" s="109">
        <v>20.803061</v>
      </c>
      <c r="C121" s="110">
        <v>6382.0</v>
      </c>
    </row>
    <row r="122">
      <c r="A122" s="108">
        <v>44454.0</v>
      </c>
      <c r="B122" s="109">
        <v>20.52257</v>
      </c>
      <c r="C122" s="110">
        <v>8765.0</v>
      </c>
    </row>
    <row r="123">
      <c r="A123" s="108">
        <v>44455.0</v>
      </c>
      <c r="B123" s="109">
        <v>20.382322</v>
      </c>
      <c r="C123" s="110">
        <v>5087.0</v>
      </c>
    </row>
    <row r="124">
      <c r="A124" s="108">
        <v>44456.0</v>
      </c>
      <c r="B124" s="109">
        <v>20.569319</v>
      </c>
      <c r="C124" s="110">
        <v>16792.0</v>
      </c>
    </row>
    <row r="125">
      <c r="A125" s="108">
        <v>44459.0</v>
      </c>
      <c r="B125" s="109">
        <v>20.101833</v>
      </c>
      <c r="C125" s="110">
        <v>11694.0</v>
      </c>
    </row>
    <row r="126">
      <c r="A126" s="108">
        <v>44460.0</v>
      </c>
      <c r="B126" s="109">
        <v>20.055084</v>
      </c>
      <c r="C126" s="110">
        <v>11555.0</v>
      </c>
    </row>
    <row r="127">
      <c r="A127" s="108">
        <v>44461.0</v>
      </c>
      <c r="B127" s="109">
        <v>20.195332</v>
      </c>
      <c r="C127" s="110">
        <v>9656.0</v>
      </c>
    </row>
    <row r="128">
      <c r="A128" s="108">
        <v>44462.0</v>
      </c>
      <c r="B128" s="109">
        <v>20.055084</v>
      </c>
      <c r="C128" s="110">
        <v>11457.0</v>
      </c>
    </row>
    <row r="129">
      <c r="A129" s="108">
        <v>44463.0</v>
      </c>
      <c r="B129" s="109">
        <v>19.914841</v>
      </c>
      <c r="C129" s="110">
        <v>6784.0</v>
      </c>
    </row>
    <row r="130">
      <c r="A130" s="108">
        <v>44466.0</v>
      </c>
      <c r="B130" s="109">
        <v>20.662815</v>
      </c>
      <c r="C130" s="110">
        <v>13861.0</v>
      </c>
    </row>
    <row r="131">
      <c r="A131" s="108">
        <v>44467.0</v>
      </c>
      <c r="B131" s="109">
        <v>20.475821</v>
      </c>
      <c r="C131" s="110">
        <v>11815.0</v>
      </c>
    </row>
    <row r="132">
      <c r="A132" s="108">
        <v>44468.0</v>
      </c>
      <c r="B132" s="109">
        <v>20.008335</v>
      </c>
      <c r="C132" s="110">
        <v>6949.0</v>
      </c>
    </row>
    <row r="133">
      <c r="A133" s="108">
        <v>44469.0</v>
      </c>
      <c r="B133" s="109">
        <v>20.101833</v>
      </c>
      <c r="C133" s="110">
        <v>15498.0</v>
      </c>
    </row>
    <row r="134">
      <c r="A134" s="108">
        <v>44470.0</v>
      </c>
      <c r="B134" s="109">
        <v>20.008335</v>
      </c>
      <c r="C134" s="110">
        <v>7660.0</v>
      </c>
    </row>
    <row r="135">
      <c r="A135" s="108">
        <v>44473.0</v>
      </c>
      <c r="B135" s="109">
        <v>19.961588</v>
      </c>
      <c r="C135" s="110">
        <v>14932.0</v>
      </c>
    </row>
    <row r="136">
      <c r="A136" s="108">
        <v>44474.0</v>
      </c>
      <c r="B136" s="109">
        <v>20.101833</v>
      </c>
      <c r="C136" s="110">
        <v>8524.0</v>
      </c>
    </row>
    <row r="137">
      <c r="A137" s="108">
        <v>44475.0</v>
      </c>
      <c r="B137" s="109">
        <v>20.195332</v>
      </c>
      <c r="C137" s="110">
        <v>7800.0</v>
      </c>
    </row>
    <row r="138">
      <c r="A138" s="108">
        <v>44476.0</v>
      </c>
      <c r="B138" s="109">
        <v>20.475821</v>
      </c>
      <c r="C138" s="110">
        <v>5680.0</v>
      </c>
    </row>
    <row r="139">
      <c r="A139" s="108">
        <v>44477.0</v>
      </c>
      <c r="B139" s="109">
        <v>20.52257</v>
      </c>
      <c r="C139" s="110">
        <v>3013.0</v>
      </c>
    </row>
    <row r="140">
      <c r="A140" s="108">
        <v>44480.0</v>
      </c>
      <c r="B140" s="109">
        <v>20.101833</v>
      </c>
      <c r="C140" s="110">
        <v>8398.0</v>
      </c>
    </row>
    <row r="141">
      <c r="A141" s="108">
        <v>44481.0</v>
      </c>
      <c r="B141" s="109">
        <v>20.288828</v>
      </c>
      <c r="C141" s="110">
        <v>4879.0</v>
      </c>
    </row>
    <row r="142">
      <c r="A142" s="108">
        <v>44482.0</v>
      </c>
      <c r="B142" s="109">
        <v>20.242079</v>
      </c>
      <c r="C142" s="110">
        <v>2166.0</v>
      </c>
    </row>
    <row r="143">
      <c r="A143" s="108">
        <v>44483.0</v>
      </c>
      <c r="B143" s="109">
        <v>20.195332</v>
      </c>
      <c r="C143" s="110">
        <v>6864.0</v>
      </c>
    </row>
    <row r="144">
      <c r="A144" s="108">
        <v>44484.0</v>
      </c>
      <c r="B144" s="109">
        <v>20.195332</v>
      </c>
      <c r="C144" s="110">
        <v>5998.0</v>
      </c>
    </row>
    <row r="145">
      <c r="A145" s="108">
        <v>44487.0</v>
      </c>
      <c r="B145" s="109">
        <v>20.101833</v>
      </c>
      <c r="C145" s="110">
        <v>5631.0</v>
      </c>
    </row>
    <row r="146">
      <c r="A146" s="108">
        <v>44488.0</v>
      </c>
      <c r="B146" s="109">
        <v>20.055084</v>
      </c>
      <c r="C146" s="110">
        <v>8532.0</v>
      </c>
    </row>
    <row r="147">
      <c r="A147" s="108">
        <v>44489.0</v>
      </c>
      <c r="B147" s="109">
        <v>20.195332</v>
      </c>
      <c r="C147" s="110">
        <v>7914.0</v>
      </c>
    </row>
    <row r="148">
      <c r="A148" s="108">
        <v>44490.0</v>
      </c>
      <c r="B148" s="109">
        <v>20.101833</v>
      </c>
      <c r="C148" s="110">
        <v>8274.0</v>
      </c>
    </row>
    <row r="149">
      <c r="A149" s="108">
        <v>44491.0</v>
      </c>
      <c r="B149" s="109">
        <v>20.195332</v>
      </c>
      <c r="C149" s="110">
        <v>8758.0</v>
      </c>
    </row>
    <row r="150">
      <c r="A150" s="108">
        <v>44494.0</v>
      </c>
      <c r="B150" s="109">
        <v>20.288828</v>
      </c>
      <c r="C150" s="110">
        <v>7318.0</v>
      </c>
    </row>
    <row r="151">
      <c r="A151" s="108">
        <v>44495.0</v>
      </c>
      <c r="B151" s="109">
        <v>20.662815</v>
      </c>
      <c r="C151" s="110">
        <v>11058.0</v>
      </c>
    </row>
    <row r="152">
      <c r="A152" s="108">
        <v>44496.0</v>
      </c>
      <c r="B152" s="109">
        <v>20.943304</v>
      </c>
      <c r="C152" s="110">
        <v>16254.0</v>
      </c>
    </row>
    <row r="153">
      <c r="A153" s="108">
        <v>44497.0</v>
      </c>
      <c r="B153" s="109">
        <v>20.756313</v>
      </c>
      <c r="C153" s="110">
        <v>7776.0</v>
      </c>
    </row>
    <row r="154">
      <c r="A154" s="108">
        <v>44498.0</v>
      </c>
      <c r="B154" s="109">
        <v>20.709562</v>
      </c>
      <c r="C154" s="110">
        <v>8110.0</v>
      </c>
    </row>
    <row r="155">
      <c r="A155" s="108">
        <v>44501.0</v>
      </c>
      <c r="B155" s="109">
        <v>20.849808</v>
      </c>
      <c r="C155" s="110">
        <v>5009.0</v>
      </c>
    </row>
    <row r="156">
      <c r="A156" s="108">
        <v>44502.0</v>
      </c>
      <c r="B156" s="109">
        <v>20.475821</v>
      </c>
      <c r="C156" s="110">
        <v>7215.0</v>
      </c>
    </row>
    <row r="157">
      <c r="A157" s="108">
        <v>44503.0</v>
      </c>
      <c r="B157" s="109">
        <v>20.569319</v>
      </c>
      <c r="C157" s="110">
        <v>7818.0</v>
      </c>
    </row>
    <row r="158">
      <c r="A158" s="108">
        <v>44504.0</v>
      </c>
      <c r="B158" s="109">
        <v>20.662815</v>
      </c>
      <c r="C158" s="110">
        <v>11579.0</v>
      </c>
    </row>
    <row r="159">
      <c r="A159" s="108">
        <v>44505.0</v>
      </c>
      <c r="B159" s="109">
        <v>20.803061</v>
      </c>
      <c r="C159" s="110">
        <v>22769.0</v>
      </c>
    </row>
    <row r="160">
      <c r="A160" s="108">
        <v>44508.0</v>
      </c>
      <c r="B160" s="109">
        <v>21.223797</v>
      </c>
      <c r="C160" s="110">
        <v>104971.0</v>
      </c>
    </row>
    <row r="161">
      <c r="A161" s="108">
        <v>44509.0</v>
      </c>
      <c r="B161" s="109">
        <v>21.504286</v>
      </c>
      <c r="C161" s="110">
        <v>25098.0</v>
      </c>
    </row>
    <row r="162">
      <c r="A162" s="108">
        <v>44510.0</v>
      </c>
      <c r="B162" s="109">
        <v>21.036804</v>
      </c>
      <c r="C162" s="110">
        <v>6936.0</v>
      </c>
    </row>
    <row r="163">
      <c r="A163" s="108">
        <v>44511.0</v>
      </c>
      <c r="B163" s="109">
        <v>21.410791</v>
      </c>
      <c r="C163" s="110">
        <v>4714.0</v>
      </c>
    </row>
    <row r="164">
      <c r="A164" s="108">
        <v>44512.0</v>
      </c>
      <c r="B164" s="109">
        <v>20.990055</v>
      </c>
      <c r="C164" s="110">
        <v>8578.0</v>
      </c>
    </row>
    <row r="165">
      <c r="A165" s="108">
        <v>44515.0</v>
      </c>
      <c r="B165" s="109">
        <v>20.849808</v>
      </c>
      <c r="C165" s="110">
        <v>12254.0</v>
      </c>
    </row>
    <row r="166">
      <c r="A166" s="108">
        <v>44516.0</v>
      </c>
      <c r="B166" s="109">
        <v>20.849808</v>
      </c>
      <c r="C166" s="110">
        <v>7348.0</v>
      </c>
    </row>
    <row r="167">
      <c r="A167" s="108">
        <v>44517.0</v>
      </c>
      <c r="B167" s="109">
        <v>20.990055</v>
      </c>
      <c r="C167" s="110">
        <v>6120.0</v>
      </c>
    </row>
    <row r="168">
      <c r="A168" s="108">
        <v>44518.0</v>
      </c>
      <c r="B168" s="109">
        <v>20.990055</v>
      </c>
      <c r="C168" s="110">
        <v>6956.0</v>
      </c>
    </row>
    <row r="169">
      <c r="A169" s="108">
        <v>44519.0</v>
      </c>
      <c r="B169" s="109">
        <v>20.990055</v>
      </c>
      <c r="C169" s="110">
        <v>12089.0</v>
      </c>
    </row>
    <row r="170">
      <c r="A170" s="108">
        <v>44522.0</v>
      </c>
      <c r="B170" s="109">
        <v>20.756313</v>
      </c>
      <c r="C170" s="110">
        <v>7850.0</v>
      </c>
    </row>
    <row r="171">
      <c r="A171" s="108">
        <v>44523.0</v>
      </c>
      <c r="B171" s="109">
        <v>20.382322</v>
      </c>
      <c r="C171" s="110">
        <v>12470.0</v>
      </c>
    </row>
    <row r="172">
      <c r="A172" s="108">
        <v>44524.0</v>
      </c>
      <c r="B172" s="109">
        <v>20.055084</v>
      </c>
      <c r="C172" s="110">
        <v>6801.0</v>
      </c>
    </row>
    <row r="173">
      <c r="A173" s="108">
        <v>44525.0</v>
      </c>
      <c r="B173" s="109">
        <v>19.961588</v>
      </c>
      <c r="C173" s="110">
        <v>5655.0</v>
      </c>
    </row>
    <row r="174">
      <c r="A174" s="108">
        <v>44526.0</v>
      </c>
      <c r="B174" s="109">
        <v>19.447353</v>
      </c>
      <c r="C174" s="110">
        <v>19162.0</v>
      </c>
    </row>
    <row r="175">
      <c r="A175" s="108">
        <v>44529.0</v>
      </c>
      <c r="B175" s="109">
        <v>18.933123</v>
      </c>
      <c r="C175" s="110">
        <v>14968.0</v>
      </c>
    </row>
    <row r="176">
      <c r="A176" s="108">
        <v>44530.0</v>
      </c>
      <c r="B176" s="109">
        <v>18.456287</v>
      </c>
      <c r="C176" s="110">
        <v>50338.0</v>
      </c>
    </row>
    <row r="177">
      <c r="A177" s="108">
        <v>44531.0</v>
      </c>
      <c r="B177" s="109">
        <v>19.166864</v>
      </c>
      <c r="C177" s="110">
        <v>29500.0</v>
      </c>
    </row>
    <row r="178">
      <c r="A178" s="108">
        <v>44532.0</v>
      </c>
      <c r="B178" s="109">
        <v>18.839624</v>
      </c>
      <c r="C178" s="110">
        <v>15462.0</v>
      </c>
    </row>
    <row r="179">
      <c r="A179" s="108">
        <v>44533.0</v>
      </c>
      <c r="B179" s="109">
        <v>19.026619</v>
      </c>
      <c r="C179" s="110">
        <v>9141.0</v>
      </c>
    </row>
    <row r="180">
      <c r="A180" s="108">
        <v>44536.0</v>
      </c>
      <c r="B180" s="109">
        <v>18.886375</v>
      </c>
      <c r="C180" s="110">
        <v>3978.0</v>
      </c>
    </row>
    <row r="181">
      <c r="A181" s="108">
        <v>44537.0</v>
      </c>
      <c r="B181" s="109">
        <v>18.933123</v>
      </c>
      <c r="C181" s="110">
        <v>10603.0</v>
      </c>
    </row>
    <row r="182">
      <c r="A182" s="108">
        <v>44538.0</v>
      </c>
      <c r="B182" s="109">
        <v>19.026619</v>
      </c>
      <c r="C182" s="110">
        <v>7175.0</v>
      </c>
    </row>
    <row r="183">
      <c r="A183" s="108">
        <v>44539.0</v>
      </c>
      <c r="B183" s="109">
        <v>18.886375</v>
      </c>
      <c r="C183" s="110">
        <v>2939.0</v>
      </c>
    </row>
    <row r="184">
      <c r="A184" s="108">
        <v>44540.0</v>
      </c>
      <c r="B184" s="109">
        <v>18.512384</v>
      </c>
      <c r="C184" s="110">
        <v>8687.0</v>
      </c>
    </row>
    <row r="185">
      <c r="A185" s="108">
        <v>44543.0</v>
      </c>
      <c r="B185" s="109">
        <v>18.456287</v>
      </c>
      <c r="C185" s="110">
        <v>6938.0</v>
      </c>
    </row>
    <row r="186">
      <c r="A186" s="108">
        <v>44544.0</v>
      </c>
      <c r="B186" s="109">
        <v>18.66198</v>
      </c>
      <c r="C186" s="110">
        <v>10830.0</v>
      </c>
    </row>
    <row r="187">
      <c r="A187" s="108">
        <v>44545.0</v>
      </c>
      <c r="B187" s="109">
        <v>18.699381</v>
      </c>
      <c r="C187" s="110">
        <v>8821.0</v>
      </c>
    </row>
    <row r="188">
      <c r="A188" s="108">
        <v>44546.0</v>
      </c>
      <c r="B188" s="109">
        <v>18.66198</v>
      </c>
      <c r="C188" s="110">
        <v>10317.0</v>
      </c>
    </row>
    <row r="189">
      <c r="A189" s="108">
        <v>44547.0</v>
      </c>
      <c r="B189" s="109">
        <v>18.531086</v>
      </c>
      <c r="C189" s="110">
        <v>18674.0</v>
      </c>
    </row>
    <row r="190">
      <c r="A190" s="108">
        <v>44550.0</v>
      </c>
      <c r="B190" s="109">
        <v>18.886375</v>
      </c>
      <c r="C190" s="110">
        <v>8776.0</v>
      </c>
    </row>
    <row r="191">
      <c r="A191" s="108">
        <v>44551.0</v>
      </c>
      <c r="B191" s="109">
        <v>19.120117</v>
      </c>
      <c r="C191" s="110">
        <v>12186.0</v>
      </c>
    </row>
    <row r="192">
      <c r="A192" s="108">
        <v>44552.0</v>
      </c>
      <c r="B192" s="109">
        <v>18.97987</v>
      </c>
      <c r="C192" s="110">
        <v>10162.0</v>
      </c>
    </row>
    <row r="193">
      <c r="A193" s="108">
        <v>44553.0</v>
      </c>
      <c r="B193" s="109">
        <v>19.353859</v>
      </c>
      <c r="C193" s="110">
        <v>10142.0</v>
      </c>
    </row>
    <row r="194">
      <c r="A194" s="108">
        <v>44554.0</v>
      </c>
      <c r="B194" s="109">
        <v>19.400606</v>
      </c>
      <c r="C194" s="110">
        <v>5697.0</v>
      </c>
    </row>
    <row r="195">
      <c r="A195" s="108">
        <v>44557.0</v>
      </c>
      <c r="B195" s="109">
        <v>19.447353</v>
      </c>
      <c r="C195" s="110">
        <v>4972.0</v>
      </c>
    </row>
    <row r="196">
      <c r="A196" s="108">
        <v>44558.0</v>
      </c>
      <c r="B196" s="109">
        <v>19.587601</v>
      </c>
      <c r="C196" s="110">
        <v>4356.0</v>
      </c>
    </row>
    <row r="197">
      <c r="A197" s="108">
        <v>44559.0</v>
      </c>
      <c r="B197" s="109">
        <v>19.587601</v>
      </c>
      <c r="C197" s="110">
        <v>9899.0</v>
      </c>
    </row>
    <row r="198">
      <c r="A198" s="108">
        <v>44560.0</v>
      </c>
      <c r="B198" s="109">
        <v>19.540852</v>
      </c>
      <c r="C198" s="110">
        <v>15992.0</v>
      </c>
    </row>
    <row r="199">
      <c r="A199" s="108">
        <v>44561.0</v>
      </c>
      <c r="B199" s="109">
        <v>19.494106</v>
      </c>
      <c r="C199" s="110">
        <v>6632.0</v>
      </c>
    </row>
    <row r="200">
      <c r="A200" s="108">
        <v>44564.0</v>
      </c>
      <c r="B200" s="109">
        <v>19.494104</v>
      </c>
      <c r="C200" s="110">
        <v>19210.0</v>
      </c>
    </row>
    <row r="201">
      <c r="A201" s="108">
        <v>44565.0</v>
      </c>
      <c r="B201" s="109">
        <v>19.876339</v>
      </c>
      <c r="C201" s="110">
        <v>10879.0</v>
      </c>
    </row>
    <row r="202">
      <c r="A202" s="108">
        <v>44566.0</v>
      </c>
      <c r="B202" s="109">
        <v>19.876339</v>
      </c>
      <c r="C202" s="110">
        <v>12359.0</v>
      </c>
    </row>
    <row r="203">
      <c r="A203" s="108">
        <v>44567.0</v>
      </c>
      <c r="B203" s="109">
        <v>19.876339</v>
      </c>
      <c r="C203" s="110">
        <v>8688.0</v>
      </c>
    </row>
    <row r="204">
      <c r="A204" s="108">
        <v>44568.0</v>
      </c>
      <c r="B204" s="109">
        <v>19.971899</v>
      </c>
      <c r="C204" s="110">
        <v>11722.0</v>
      </c>
    </row>
    <row r="205">
      <c r="A205" s="108">
        <v>44571.0</v>
      </c>
      <c r="B205" s="109">
        <v>19.92412</v>
      </c>
      <c r="C205" s="110">
        <v>12281.0</v>
      </c>
    </row>
    <row r="206">
      <c r="A206" s="108">
        <v>44572.0</v>
      </c>
      <c r="B206" s="109">
        <v>19.685221</v>
      </c>
      <c r="C206" s="110">
        <v>8970.0</v>
      </c>
    </row>
    <row r="207">
      <c r="A207" s="108">
        <v>44573.0</v>
      </c>
      <c r="B207" s="109">
        <v>20.258579</v>
      </c>
      <c r="C207" s="110">
        <v>13190.0</v>
      </c>
    </row>
    <row r="208">
      <c r="A208" s="108">
        <v>44574.0</v>
      </c>
      <c r="B208" s="109">
        <v>20.258579</v>
      </c>
      <c r="C208" s="110">
        <v>4313.0</v>
      </c>
    </row>
    <row r="209">
      <c r="A209" s="108">
        <v>44575.0</v>
      </c>
      <c r="B209" s="109">
        <v>20.258579</v>
      </c>
      <c r="C209" s="110">
        <v>10984.0</v>
      </c>
    </row>
    <row r="210">
      <c r="A210" s="108">
        <v>44578.0</v>
      </c>
      <c r="B210" s="109">
        <v>20.545256</v>
      </c>
      <c r="C210" s="110">
        <v>15102.0</v>
      </c>
    </row>
    <row r="211">
      <c r="A211" s="108">
        <v>44579.0</v>
      </c>
      <c r="B211" s="109">
        <v>20.354137</v>
      </c>
      <c r="C211" s="110">
        <v>4934.0</v>
      </c>
    </row>
    <row r="212">
      <c r="A212" s="108">
        <v>44580.0</v>
      </c>
      <c r="B212" s="109">
        <v>20.736374</v>
      </c>
      <c r="C212" s="110">
        <v>12514.0</v>
      </c>
    </row>
    <row r="213">
      <c r="A213" s="108">
        <v>44581.0</v>
      </c>
      <c r="B213" s="109">
        <v>21.118612</v>
      </c>
      <c r="C213" s="110">
        <v>32396.0</v>
      </c>
    </row>
    <row r="214">
      <c r="A214" s="108">
        <v>44582.0</v>
      </c>
      <c r="B214" s="109">
        <v>20.640816</v>
      </c>
      <c r="C214" s="110">
        <v>12273.0</v>
      </c>
    </row>
    <row r="215">
      <c r="A215" s="108">
        <v>44585.0</v>
      </c>
      <c r="B215" s="109">
        <v>20.115238</v>
      </c>
      <c r="C215" s="110">
        <v>12093.0</v>
      </c>
    </row>
    <row r="216">
      <c r="A216" s="108">
        <v>44586.0</v>
      </c>
      <c r="B216" s="109">
        <v>19.876339</v>
      </c>
      <c r="C216" s="110">
        <v>9754.0</v>
      </c>
    </row>
    <row r="217">
      <c r="A217" s="108">
        <v>44587.0</v>
      </c>
      <c r="B217" s="109">
        <v>19.971899</v>
      </c>
      <c r="C217" s="110">
        <v>13324.0</v>
      </c>
    </row>
    <row r="218">
      <c r="A218" s="108">
        <v>44588.0</v>
      </c>
      <c r="B218" s="109">
        <v>20.210798</v>
      </c>
      <c r="C218" s="110">
        <v>14654.0</v>
      </c>
    </row>
    <row r="219">
      <c r="A219" s="108">
        <v>44589.0</v>
      </c>
      <c r="B219" s="109">
        <v>20.163019</v>
      </c>
      <c r="C219" s="110">
        <v>7477.0</v>
      </c>
    </row>
    <row r="220">
      <c r="A220" s="108">
        <v>44592.0</v>
      </c>
      <c r="B220" s="109">
        <v>19.971899</v>
      </c>
      <c r="C220" s="110">
        <v>8062.0</v>
      </c>
    </row>
    <row r="221">
      <c r="A221" s="108">
        <v>44593.0</v>
      </c>
      <c r="B221" s="109">
        <v>19.82856</v>
      </c>
      <c r="C221" s="110">
        <v>12146.0</v>
      </c>
    </row>
    <row r="222">
      <c r="A222" s="108">
        <v>44594.0</v>
      </c>
      <c r="B222" s="109">
        <v>19.92412</v>
      </c>
      <c r="C222" s="110">
        <v>8741.0</v>
      </c>
    </row>
    <row r="223">
      <c r="A223" s="108">
        <v>44595.0</v>
      </c>
      <c r="B223" s="109">
        <v>19.780781</v>
      </c>
      <c r="C223" s="110">
        <v>8927.0</v>
      </c>
    </row>
    <row r="224">
      <c r="A224" s="108">
        <v>44596.0</v>
      </c>
      <c r="B224" s="109">
        <v>19.350765</v>
      </c>
      <c r="C224" s="110">
        <v>16953.0</v>
      </c>
    </row>
    <row r="225">
      <c r="A225" s="108">
        <v>44599.0</v>
      </c>
      <c r="B225" s="109">
        <v>19.111866</v>
      </c>
      <c r="C225" s="110">
        <v>10082.0</v>
      </c>
    </row>
    <row r="226">
      <c r="A226" s="108">
        <v>44600.0</v>
      </c>
      <c r="B226" s="109">
        <v>19.016306</v>
      </c>
      <c r="C226" s="110">
        <v>10900.0</v>
      </c>
    </row>
    <row r="227">
      <c r="A227" s="108">
        <v>44601.0</v>
      </c>
      <c r="B227" s="109">
        <v>19.255205</v>
      </c>
      <c r="C227" s="110">
        <v>9582.0</v>
      </c>
    </row>
    <row r="228">
      <c r="A228" s="108">
        <v>44602.0</v>
      </c>
      <c r="B228" s="109">
        <v>19.016306</v>
      </c>
      <c r="C228" s="110">
        <v>10000.0</v>
      </c>
    </row>
    <row r="229">
      <c r="A229" s="108">
        <v>44603.0</v>
      </c>
      <c r="B229" s="109">
        <v>19.255205</v>
      </c>
      <c r="C229" s="110">
        <v>11699.0</v>
      </c>
    </row>
    <row r="230">
      <c r="A230" s="108">
        <v>44606.0</v>
      </c>
      <c r="B230" s="109">
        <v>18.767851</v>
      </c>
      <c r="C230" s="110">
        <v>24129.0</v>
      </c>
    </row>
    <row r="231">
      <c r="A231" s="108">
        <v>44607.0</v>
      </c>
      <c r="B231" s="109">
        <v>18.920746</v>
      </c>
      <c r="C231" s="110">
        <v>6642.0</v>
      </c>
    </row>
    <row r="232">
      <c r="A232" s="108">
        <v>44608.0</v>
      </c>
      <c r="B232" s="109">
        <v>18.767851</v>
      </c>
      <c r="C232" s="110">
        <v>11259.0</v>
      </c>
    </row>
    <row r="233">
      <c r="A233" s="108">
        <v>44609.0</v>
      </c>
      <c r="B233" s="109">
        <v>18.462063</v>
      </c>
      <c r="C233" s="110">
        <v>12643.0</v>
      </c>
    </row>
    <row r="234">
      <c r="A234" s="108">
        <v>44610.0</v>
      </c>
      <c r="B234" s="109">
        <v>18.825188</v>
      </c>
      <c r="C234" s="110">
        <v>12010.0</v>
      </c>
    </row>
    <row r="235">
      <c r="A235" s="108">
        <v>44613.0</v>
      </c>
      <c r="B235" s="109">
        <v>18.442951</v>
      </c>
      <c r="C235" s="110">
        <v>10295.0</v>
      </c>
    </row>
    <row r="236">
      <c r="A236" s="108">
        <v>44614.0</v>
      </c>
      <c r="B236" s="109">
        <v>18.385616</v>
      </c>
      <c r="C236" s="110">
        <v>11318.0</v>
      </c>
    </row>
    <row r="237">
      <c r="A237" s="108">
        <v>44615.0</v>
      </c>
      <c r="B237" s="109">
        <v>18.251833</v>
      </c>
      <c r="C237" s="110">
        <v>11926.0</v>
      </c>
    </row>
    <row r="238">
      <c r="A238" s="108">
        <v>44616.0</v>
      </c>
      <c r="B238" s="109">
        <v>17.582916</v>
      </c>
      <c r="C238" s="110">
        <v>46195.0</v>
      </c>
    </row>
    <row r="239">
      <c r="A239" s="108">
        <v>44617.0</v>
      </c>
      <c r="B239" s="109">
        <v>17.812258</v>
      </c>
      <c r="C239" s="110">
        <v>17910.0</v>
      </c>
    </row>
    <row r="240">
      <c r="A240" s="108">
        <v>44620.0</v>
      </c>
      <c r="B240" s="109">
        <v>17.10512</v>
      </c>
      <c r="C240" s="110">
        <v>45789.0</v>
      </c>
    </row>
    <row r="241">
      <c r="A241" s="108">
        <v>44621.0</v>
      </c>
      <c r="B241" s="109">
        <v>16.818441</v>
      </c>
      <c r="C241" s="110">
        <v>21118.0</v>
      </c>
    </row>
    <row r="242">
      <c r="A242" s="108">
        <v>44622.0</v>
      </c>
      <c r="B242" s="109">
        <v>17.047785</v>
      </c>
      <c r="C242" s="110">
        <v>16977.0</v>
      </c>
    </row>
    <row r="243">
      <c r="A243" s="108">
        <v>44623.0</v>
      </c>
      <c r="B243" s="109">
        <v>16.914001</v>
      </c>
      <c r="C243" s="110">
        <v>9116.0</v>
      </c>
    </row>
    <row r="244">
      <c r="A244" s="108">
        <v>44624.0</v>
      </c>
      <c r="B244" s="109">
        <v>15.499722</v>
      </c>
      <c r="C244" s="110">
        <v>70658.0</v>
      </c>
    </row>
    <row r="245">
      <c r="A245" s="108">
        <v>44627.0</v>
      </c>
      <c r="B245" s="109">
        <v>14.14278</v>
      </c>
      <c r="C245" s="110">
        <v>96092.0</v>
      </c>
    </row>
    <row r="246">
      <c r="A246" s="108">
        <v>44628.0</v>
      </c>
      <c r="B246" s="109">
        <v>15.041039</v>
      </c>
      <c r="C246" s="110">
        <v>68187.0</v>
      </c>
    </row>
    <row r="247">
      <c r="A247" s="108">
        <v>44629.0</v>
      </c>
      <c r="B247" s="109">
        <v>15.480613</v>
      </c>
      <c r="C247" s="110">
        <v>69017.0</v>
      </c>
    </row>
    <row r="248">
      <c r="A248" s="108">
        <v>44630.0</v>
      </c>
      <c r="B248" s="109">
        <v>15.786402</v>
      </c>
      <c r="C248" s="110">
        <v>85150.0</v>
      </c>
    </row>
    <row r="249">
      <c r="A249" s="108">
        <v>44631.0</v>
      </c>
      <c r="B249" s="109">
        <v>15.901072</v>
      </c>
      <c r="C249" s="110">
        <v>36957.0</v>
      </c>
    </row>
    <row r="250">
      <c r="A250" s="108">
        <v>44634.0</v>
      </c>
      <c r="B250" s="109">
        <v>16.245087</v>
      </c>
      <c r="C250" s="110">
        <v>43252.0</v>
      </c>
    </row>
    <row r="251">
      <c r="A251" s="108">
        <v>44635.0</v>
      </c>
      <c r="B251" s="109">
        <v>16.417093</v>
      </c>
      <c r="C251" s="110">
        <v>69441.0</v>
      </c>
    </row>
    <row r="252">
      <c r="A252" s="108">
        <v>44636.0</v>
      </c>
      <c r="B252" s="109">
        <v>16.149527</v>
      </c>
      <c r="C252" s="110">
        <v>48643.0</v>
      </c>
    </row>
    <row r="253">
      <c r="A253" s="108">
        <v>44637.0</v>
      </c>
      <c r="B253" s="109">
        <v>16.130415</v>
      </c>
      <c r="C253" s="110">
        <v>29996.0</v>
      </c>
    </row>
    <row r="254">
      <c r="A254" s="108">
        <v>44638.0</v>
      </c>
      <c r="B254" s="109">
        <v>16.111303</v>
      </c>
      <c r="C254" s="110">
        <v>36683.0</v>
      </c>
    </row>
    <row r="255">
      <c r="A255" s="108">
        <v>44641.0</v>
      </c>
      <c r="B255" s="109">
        <v>16.149527</v>
      </c>
      <c r="C255" s="110">
        <v>28157.0</v>
      </c>
    </row>
    <row r="256">
      <c r="A256" s="108">
        <v>44642.0</v>
      </c>
      <c r="B256" s="109">
        <v>15.958408</v>
      </c>
      <c r="C256" s="110">
        <v>13907.0</v>
      </c>
    </row>
    <row r="257">
      <c r="A257" s="108">
        <v>44643.0</v>
      </c>
      <c r="B257" s="109">
        <v>15.958408</v>
      </c>
      <c r="C257" s="110">
        <v>26413.0</v>
      </c>
    </row>
    <row r="258">
      <c r="A258" s="108">
        <v>44644.0</v>
      </c>
      <c r="B258" s="109">
        <v>15.881962</v>
      </c>
      <c r="C258" s="110">
        <v>55722.0</v>
      </c>
    </row>
    <row r="259">
      <c r="A259" s="108">
        <v>44645.0</v>
      </c>
      <c r="B259" s="109">
        <v>16.149527</v>
      </c>
      <c r="C259" s="110">
        <v>12786.0</v>
      </c>
    </row>
    <row r="260">
      <c r="A260" s="108">
        <v>44648.0</v>
      </c>
      <c r="B260" s="109">
        <v>15.958408</v>
      </c>
      <c r="C260" s="110">
        <v>21004.0</v>
      </c>
    </row>
    <row r="261">
      <c r="A261" s="108">
        <v>44649.0</v>
      </c>
      <c r="B261" s="109">
        <v>16.359758</v>
      </c>
      <c r="C261" s="110">
        <v>22610.0</v>
      </c>
    </row>
    <row r="262">
      <c r="A262" s="108">
        <v>44650.0</v>
      </c>
      <c r="B262" s="109">
        <v>15.881962</v>
      </c>
      <c r="C262" s="110">
        <v>15191.0</v>
      </c>
    </row>
    <row r="263">
      <c r="A263" s="108">
        <v>44651.0</v>
      </c>
      <c r="B263" s="109">
        <v>15.76729</v>
      </c>
      <c r="C263" s="110">
        <v>9419.0</v>
      </c>
    </row>
    <row r="264">
      <c r="A264" s="108">
        <v>44652.0</v>
      </c>
      <c r="B264" s="109">
        <v>15.786402</v>
      </c>
      <c r="C264" s="110">
        <v>18387.0</v>
      </c>
    </row>
    <row r="265">
      <c r="A265" s="108">
        <v>44655.0</v>
      </c>
      <c r="B265" s="109">
        <v>16.187752</v>
      </c>
      <c r="C265" s="110">
        <v>15760.0</v>
      </c>
    </row>
    <row r="266">
      <c r="A266" s="108">
        <v>44656.0</v>
      </c>
      <c r="B266" s="109">
        <v>15.76729</v>
      </c>
      <c r="C266" s="110">
        <v>21100.0</v>
      </c>
    </row>
    <row r="267">
      <c r="A267" s="108">
        <v>44657.0</v>
      </c>
      <c r="B267" s="109">
        <v>15.76729</v>
      </c>
      <c r="C267" s="110">
        <v>22672.0</v>
      </c>
    </row>
    <row r="268">
      <c r="A268" s="108">
        <v>44658.0</v>
      </c>
      <c r="B268" s="109">
        <v>15.289493</v>
      </c>
      <c r="C268" s="110">
        <v>16565.0</v>
      </c>
    </row>
    <row r="269">
      <c r="A269" s="108">
        <v>44659.0</v>
      </c>
      <c r="B269" s="109">
        <v>15.709953</v>
      </c>
      <c r="C269" s="110">
        <v>11784.0</v>
      </c>
    </row>
    <row r="270">
      <c r="A270" s="108">
        <v>44662.0</v>
      </c>
      <c r="B270" s="109">
        <v>15.595283</v>
      </c>
      <c r="C270" s="110">
        <v>12424.0</v>
      </c>
    </row>
    <row r="271">
      <c r="A271" s="108">
        <v>44663.0</v>
      </c>
      <c r="B271" s="109">
        <v>15.652617</v>
      </c>
      <c r="C271" s="110">
        <v>16551.0</v>
      </c>
    </row>
    <row r="272">
      <c r="A272" s="108">
        <v>44664.0</v>
      </c>
      <c r="B272" s="109">
        <v>15.480613</v>
      </c>
      <c r="C272" s="110">
        <v>8436.0</v>
      </c>
    </row>
    <row r="273">
      <c r="A273" s="108">
        <v>44665.0</v>
      </c>
      <c r="B273" s="109">
        <v>15.690842</v>
      </c>
      <c r="C273" s="110">
        <v>17231.0</v>
      </c>
    </row>
    <row r="274">
      <c r="A274" s="108">
        <v>44670.0</v>
      </c>
      <c r="B274" s="109">
        <v>15.824625</v>
      </c>
      <c r="C274" s="110">
        <v>6261.0</v>
      </c>
    </row>
    <row r="275">
      <c r="A275" s="108">
        <v>44671.0</v>
      </c>
      <c r="B275" s="109">
        <v>15.805513</v>
      </c>
      <c r="C275" s="110">
        <v>16793.0</v>
      </c>
    </row>
    <row r="276">
      <c r="A276" s="108">
        <v>44672.0</v>
      </c>
      <c r="B276" s="109">
        <v>16.07308</v>
      </c>
      <c r="C276" s="110">
        <v>14375.0</v>
      </c>
    </row>
    <row r="277">
      <c r="A277" s="108">
        <v>44673.0</v>
      </c>
      <c r="B277" s="109">
        <v>15.97752</v>
      </c>
      <c r="C277" s="110">
        <v>9942.0</v>
      </c>
    </row>
    <row r="278">
      <c r="A278" s="108">
        <v>44676.0</v>
      </c>
      <c r="B278" s="109">
        <v>15.614395</v>
      </c>
      <c r="C278" s="110">
        <v>8894.0</v>
      </c>
    </row>
    <row r="279">
      <c r="A279" s="108">
        <v>44677.0</v>
      </c>
      <c r="B279" s="109">
        <v>15.518835</v>
      </c>
      <c r="C279" s="110">
        <v>7371.0</v>
      </c>
    </row>
    <row r="280">
      <c r="A280" s="108">
        <v>44678.0</v>
      </c>
      <c r="B280" s="109">
        <v>14.907256</v>
      </c>
      <c r="C280" s="110">
        <v>15734.0</v>
      </c>
    </row>
    <row r="281">
      <c r="A281" s="108">
        <v>44679.0</v>
      </c>
      <c r="B281" s="109">
        <v>14.964591</v>
      </c>
      <c r="C281" s="110">
        <v>11346.0</v>
      </c>
    </row>
    <row r="282">
      <c r="A282" s="108">
        <v>44680.0</v>
      </c>
      <c r="B282" s="109">
        <v>15.308605</v>
      </c>
      <c r="C282" s="110">
        <v>16159.0</v>
      </c>
    </row>
    <row r="283">
      <c r="A283" s="108">
        <v>44683.0</v>
      </c>
      <c r="B283" s="109">
        <v>15.4615</v>
      </c>
      <c r="C283" s="110">
        <v>17923.0</v>
      </c>
    </row>
    <row r="284">
      <c r="A284" s="108">
        <v>44684.0</v>
      </c>
      <c r="B284" s="109">
        <v>14.926368</v>
      </c>
      <c r="C284" s="110">
        <v>19900.0</v>
      </c>
    </row>
    <row r="285">
      <c r="A285" s="108">
        <v>44685.0</v>
      </c>
      <c r="B285" s="109">
        <v>14.716136</v>
      </c>
      <c r="C285" s="110">
        <v>11533.0</v>
      </c>
    </row>
    <row r="286">
      <c r="A286" s="108">
        <v>44686.0</v>
      </c>
      <c r="B286" s="109">
        <v>15.021927</v>
      </c>
      <c r="C286" s="110">
        <v>22524.0</v>
      </c>
    </row>
    <row r="287">
      <c r="A287" s="108">
        <v>44687.0</v>
      </c>
      <c r="B287" s="109">
        <v>15.213045</v>
      </c>
      <c r="C287" s="110">
        <v>24891.0</v>
      </c>
    </row>
    <row r="288">
      <c r="A288" s="108">
        <v>44690.0</v>
      </c>
      <c r="B288" s="109">
        <v>14.75436</v>
      </c>
      <c r="C288" s="110">
        <v>17640.0</v>
      </c>
    </row>
    <row r="289">
      <c r="A289" s="108">
        <v>44691.0</v>
      </c>
      <c r="B289" s="109">
        <v>14.792583</v>
      </c>
      <c r="C289" s="110">
        <v>10683.0</v>
      </c>
    </row>
    <row r="290">
      <c r="A290" s="108">
        <v>44692.0</v>
      </c>
      <c r="B290" s="109">
        <v>15.232157</v>
      </c>
      <c r="C290" s="110">
        <v>14946.0</v>
      </c>
    </row>
    <row r="291">
      <c r="A291" s="108">
        <v>44693.0</v>
      </c>
      <c r="B291" s="109">
        <v>14.773472</v>
      </c>
      <c r="C291" s="110">
        <v>18424.0</v>
      </c>
    </row>
    <row r="292">
      <c r="A292" s="108">
        <v>44694.0</v>
      </c>
      <c r="B292" s="109">
        <v>15.098374</v>
      </c>
      <c r="C292" s="110">
        <v>40056.0</v>
      </c>
    </row>
    <row r="293">
      <c r="A293" s="108">
        <v>44697.0</v>
      </c>
      <c r="B293" s="109">
        <v>15.289493</v>
      </c>
      <c r="C293" s="110">
        <v>14894.0</v>
      </c>
    </row>
    <row r="294">
      <c r="A294" s="108">
        <v>44698.0</v>
      </c>
      <c r="B294" s="109">
        <v>15.442388</v>
      </c>
      <c r="C294" s="110">
        <v>26473.0</v>
      </c>
    </row>
    <row r="295">
      <c r="A295" s="108">
        <v>44699.0</v>
      </c>
      <c r="B295" s="109">
        <v>15.27038</v>
      </c>
      <c r="C295" s="110">
        <v>12738.0</v>
      </c>
    </row>
    <row r="296">
      <c r="A296" s="108">
        <v>44700.0</v>
      </c>
      <c r="B296" s="109">
        <v>14.964591</v>
      </c>
      <c r="C296" s="110">
        <v>13905.0</v>
      </c>
    </row>
    <row r="297">
      <c r="A297" s="108">
        <v>44701.0</v>
      </c>
      <c r="B297" s="109">
        <v>15.098374</v>
      </c>
      <c r="C297" s="110">
        <v>9869.0</v>
      </c>
    </row>
    <row r="298">
      <c r="A298" s="108">
        <v>44704.0</v>
      </c>
      <c r="B298" s="109">
        <v>15.060151</v>
      </c>
      <c r="C298" s="110">
        <v>13118.0</v>
      </c>
    </row>
    <row r="299">
      <c r="A299" s="108">
        <v>44705.0</v>
      </c>
      <c r="B299" s="109">
        <v>14.983704</v>
      </c>
      <c r="C299" s="110">
        <v>8420.0</v>
      </c>
    </row>
    <row r="300">
      <c r="A300" s="108">
        <v>44706.0</v>
      </c>
      <c r="B300" s="109">
        <v>15.748177</v>
      </c>
      <c r="C300" s="110">
        <v>52972.0</v>
      </c>
    </row>
    <row r="301">
      <c r="A301" s="108">
        <v>44707.0</v>
      </c>
      <c r="B301" s="109">
        <v>15.843737</v>
      </c>
      <c r="C301" s="110">
        <v>15225.0</v>
      </c>
    </row>
    <row r="302">
      <c r="A302" s="108">
        <v>44708.0</v>
      </c>
      <c r="B302" s="109">
        <v>16.225975</v>
      </c>
      <c r="C302" s="110">
        <v>14289.0</v>
      </c>
    </row>
    <row r="303">
      <c r="A303" s="108">
        <v>44711.0</v>
      </c>
      <c r="B303" s="109">
        <v>16.79933</v>
      </c>
      <c r="C303" s="110">
        <v>29979.0</v>
      </c>
    </row>
    <row r="304">
      <c r="A304" s="108">
        <v>44712.0</v>
      </c>
      <c r="B304" s="109">
        <v>16.034857</v>
      </c>
      <c r="C304" s="110">
        <v>20395.0</v>
      </c>
    </row>
    <row r="305">
      <c r="A305" s="108">
        <v>44713.0</v>
      </c>
      <c r="B305" s="109">
        <v>16.149527</v>
      </c>
      <c r="C305" s="110">
        <v>6631.0</v>
      </c>
    </row>
    <row r="306">
      <c r="A306" s="108">
        <v>44714.0</v>
      </c>
      <c r="B306" s="109">
        <v>16.302422</v>
      </c>
      <c r="C306" s="110">
        <v>5558.0</v>
      </c>
    </row>
    <row r="307">
      <c r="A307" s="108">
        <v>44715.0</v>
      </c>
      <c r="B307" s="109">
        <v>15.996632</v>
      </c>
      <c r="C307" s="110">
        <v>7153.0</v>
      </c>
    </row>
    <row r="308">
      <c r="A308" s="108">
        <v>44718.0</v>
      </c>
      <c r="B308" s="109">
        <v>16.397982</v>
      </c>
      <c r="C308" s="110">
        <v>5916.0</v>
      </c>
    </row>
    <row r="309">
      <c r="A309" s="108">
        <v>44719.0</v>
      </c>
      <c r="B309" s="109">
        <v>16.206861</v>
      </c>
      <c r="C309" s="110">
        <v>11165.0</v>
      </c>
    </row>
    <row r="310">
      <c r="A310" s="108">
        <v>44720.0</v>
      </c>
      <c r="B310" s="109">
        <v>16.07308</v>
      </c>
      <c r="C310" s="110">
        <v>10105.0</v>
      </c>
    </row>
    <row r="311">
      <c r="A311" s="108">
        <v>44721.0</v>
      </c>
      <c r="B311" s="109">
        <v>16.034857</v>
      </c>
      <c r="C311" s="110">
        <v>6175.0</v>
      </c>
    </row>
    <row r="312">
      <c r="A312" s="108">
        <v>44722.0</v>
      </c>
      <c r="B312" s="109">
        <v>15.920185</v>
      </c>
      <c r="C312" s="110">
        <v>12468.0</v>
      </c>
    </row>
    <row r="313">
      <c r="A313" s="108">
        <v>44725.0</v>
      </c>
      <c r="B313" s="109">
        <v>15.729065</v>
      </c>
      <c r="C313" s="110">
        <v>19538.0</v>
      </c>
    </row>
    <row r="314">
      <c r="A314" s="108">
        <v>44726.0</v>
      </c>
      <c r="B314" s="109">
        <v>15.480613</v>
      </c>
      <c r="C314" s="110">
        <v>11370.0</v>
      </c>
    </row>
    <row r="315">
      <c r="A315" s="108">
        <v>44727.0</v>
      </c>
      <c r="B315" s="109">
        <v>15.652617</v>
      </c>
      <c r="C315" s="110">
        <v>8696.0</v>
      </c>
    </row>
    <row r="316">
      <c r="A316" s="108">
        <v>44728.0</v>
      </c>
      <c r="B316" s="109">
        <v>15.385053</v>
      </c>
      <c r="C316" s="110">
        <v>8444.0</v>
      </c>
    </row>
    <row r="317">
      <c r="A317" s="108">
        <v>44729.0</v>
      </c>
      <c r="B317" s="109">
        <v>15.098374</v>
      </c>
      <c r="C317" s="110">
        <v>30247.0</v>
      </c>
    </row>
    <row r="318">
      <c r="A318" s="108">
        <v>44732.0</v>
      </c>
      <c r="B318" s="109">
        <v>15.537948</v>
      </c>
      <c r="C318" s="110">
        <v>7562.0</v>
      </c>
    </row>
    <row r="319">
      <c r="A319" s="108">
        <v>44733.0</v>
      </c>
      <c r="B319" s="109">
        <v>15.213045</v>
      </c>
      <c r="C319" s="110">
        <v>9356.0</v>
      </c>
    </row>
    <row r="320">
      <c r="A320" s="108">
        <v>44734.0</v>
      </c>
      <c r="B320" s="109">
        <v>15.308605</v>
      </c>
      <c r="C320" s="110">
        <v>9634.0</v>
      </c>
    </row>
    <row r="321">
      <c r="A321" s="108">
        <v>44735.0</v>
      </c>
      <c r="B321" s="109">
        <v>15.27038</v>
      </c>
      <c r="C321" s="110">
        <v>5030.0</v>
      </c>
    </row>
    <row r="322">
      <c r="A322" s="108">
        <v>44736.0</v>
      </c>
      <c r="B322" s="109">
        <v>15.327717</v>
      </c>
      <c r="C322" s="110">
        <v>5331.0</v>
      </c>
    </row>
    <row r="323">
      <c r="A323" s="108">
        <v>44739.0</v>
      </c>
      <c r="B323" s="109">
        <v>15.57617</v>
      </c>
      <c r="C323" s="110">
        <v>12853.0</v>
      </c>
    </row>
    <row r="324">
      <c r="A324" s="108">
        <v>44740.0</v>
      </c>
      <c r="B324" s="109">
        <v>15.327717</v>
      </c>
      <c r="C324" s="110">
        <v>6816.0</v>
      </c>
    </row>
    <row r="325">
      <c r="A325" s="108">
        <v>44741.0</v>
      </c>
      <c r="B325" s="109">
        <v>15.346828</v>
      </c>
      <c r="C325" s="110">
        <v>9945.0</v>
      </c>
    </row>
    <row r="326">
      <c r="A326" s="108">
        <v>44742.0</v>
      </c>
      <c r="B326" s="109">
        <v>14.869032</v>
      </c>
      <c r="C326" s="110">
        <v>22354.0</v>
      </c>
    </row>
    <row r="327">
      <c r="A327" s="108">
        <v>44743.0</v>
      </c>
      <c r="B327" s="109">
        <v>15.174821</v>
      </c>
      <c r="C327" s="110">
        <v>48295.0</v>
      </c>
    </row>
    <row r="328">
      <c r="A328" s="108">
        <v>44746.0</v>
      </c>
      <c r="B328" s="109">
        <v>14.830809</v>
      </c>
      <c r="C328" s="110">
        <v>14533.0</v>
      </c>
    </row>
    <row r="329">
      <c r="A329" s="108">
        <v>44747.0</v>
      </c>
      <c r="B329" s="109">
        <v>14.563242</v>
      </c>
      <c r="C329" s="110">
        <v>9973.0</v>
      </c>
    </row>
    <row r="330">
      <c r="A330" s="108">
        <v>44748.0</v>
      </c>
      <c r="B330" s="109">
        <v>14.391235</v>
      </c>
      <c r="C330" s="110">
        <v>8641.0</v>
      </c>
    </row>
    <row r="331">
      <c r="A331" s="108">
        <v>44749.0</v>
      </c>
      <c r="B331" s="109">
        <v>14.200116</v>
      </c>
      <c r="C331" s="110">
        <v>12954.0</v>
      </c>
    </row>
    <row r="332">
      <c r="A332" s="108">
        <v>44750.0</v>
      </c>
      <c r="B332" s="109">
        <v>14.716136</v>
      </c>
      <c r="C332" s="110">
        <v>14886.0</v>
      </c>
    </row>
    <row r="333">
      <c r="A333" s="108">
        <v>44753.0</v>
      </c>
      <c r="B333" s="109">
        <v>14.486794</v>
      </c>
      <c r="C333" s="110">
        <v>7396.0</v>
      </c>
    </row>
    <row r="334">
      <c r="A334" s="108">
        <v>44754.0</v>
      </c>
      <c r="B334" s="109">
        <v>13.091628</v>
      </c>
      <c r="C334" s="110">
        <v>115183.0</v>
      </c>
    </row>
    <row r="335">
      <c r="A335" s="108">
        <v>44755.0</v>
      </c>
      <c r="B335" s="109">
        <v>12.976957</v>
      </c>
      <c r="C335" s="110">
        <v>48525.0</v>
      </c>
    </row>
    <row r="336">
      <c r="A336" s="108">
        <v>44756.0</v>
      </c>
      <c r="B336" s="109">
        <v>12.422713</v>
      </c>
      <c r="C336" s="110">
        <v>22811.0</v>
      </c>
    </row>
    <row r="337">
      <c r="A337" s="108">
        <v>44757.0</v>
      </c>
      <c r="B337" s="109">
        <v>12.613832</v>
      </c>
      <c r="C337" s="110">
        <v>24343.0</v>
      </c>
    </row>
    <row r="338">
      <c r="A338" s="108">
        <v>44760.0</v>
      </c>
      <c r="B338" s="109">
        <v>12.785838</v>
      </c>
      <c r="C338" s="110">
        <v>12467.0</v>
      </c>
    </row>
    <row r="339">
      <c r="A339" s="108">
        <v>44761.0</v>
      </c>
      <c r="B339" s="109">
        <v>12.575607</v>
      </c>
      <c r="C339" s="110">
        <v>25710.0</v>
      </c>
    </row>
    <row r="340">
      <c r="A340" s="108">
        <v>44762.0</v>
      </c>
      <c r="B340" s="109">
        <v>12.59472</v>
      </c>
      <c r="C340" s="110">
        <v>25717.0</v>
      </c>
    </row>
    <row r="341">
      <c r="A341" s="108">
        <v>44763.0</v>
      </c>
      <c r="B341" s="109">
        <v>12.518272</v>
      </c>
      <c r="C341" s="110">
        <v>19255.0</v>
      </c>
    </row>
    <row r="342">
      <c r="A342" s="108">
        <v>44764.0</v>
      </c>
      <c r="B342" s="109">
        <v>12.613832</v>
      </c>
      <c r="C342" s="110">
        <v>24498.0</v>
      </c>
    </row>
    <row r="343">
      <c r="A343" s="108">
        <v>44767.0</v>
      </c>
      <c r="B343" s="109">
        <v>12.518272</v>
      </c>
      <c r="C343" s="110">
        <v>30217.0</v>
      </c>
    </row>
    <row r="344">
      <c r="A344" s="108">
        <v>44768.0</v>
      </c>
      <c r="B344" s="109">
        <v>12.403601</v>
      </c>
      <c r="C344" s="110">
        <v>17092.0</v>
      </c>
    </row>
    <row r="345">
      <c r="A345" s="108">
        <v>44769.0</v>
      </c>
      <c r="B345" s="109">
        <v>12.556496</v>
      </c>
      <c r="C345" s="110">
        <v>12581.0</v>
      </c>
    </row>
    <row r="346">
      <c r="A346" s="108">
        <v>44770.0</v>
      </c>
      <c r="B346" s="109">
        <v>12.460938</v>
      </c>
      <c r="C346" s="110">
        <v>21826.0</v>
      </c>
    </row>
    <row r="347">
      <c r="A347" s="108">
        <v>44771.0</v>
      </c>
      <c r="B347" s="109">
        <v>12.556496</v>
      </c>
      <c r="C347" s="110">
        <v>24358.0</v>
      </c>
    </row>
    <row r="348">
      <c r="A348" s="108">
        <v>44774.0</v>
      </c>
      <c r="B348" s="109">
        <v>12.690279</v>
      </c>
      <c r="C348" s="110">
        <v>21497.0</v>
      </c>
    </row>
    <row r="349">
      <c r="A349" s="108">
        <v>44775.0</v>
      </c>
      <c r="B349" s="109">
        <v>12.422713</v>
      </c>
      <c r="C349" s="110">
        <v>17212.0</v>
      </c>
    </row>
    <row r="350">
      <c r="A350" s="108">
        <v>44776.0</v>
      </c>
      <c r="B350" s="109">
        <v>12.632943</v>
      </c>
      <c r="C350" s="110">
        <v>16953.0</v>
      </c>
    </row>
    <row r="351">
      <c r="A351" s="108">
        <v>44777.0</v>
      </c>
      <c r="B351" s="109">
        <v>12.652055</v>
      </c>
      <c r="C351" s="110">
        <v>54466.0</v>
      </c>
    </row>
    <row r="352">
      <c r="A352" s="108">
        <v>44778.0</v>
      </c>
      <c r="B352" s="109">
        <v>13.11074</v>
      </c>
      <c r="C352" s="110">
        <v>25662.0</v>
      </c>
    </row>
    <row r="353">
      <c r="A353" s="108">
        <v>44781.0</v>
      </c>
      <c r="B353" s="109">
        <v>13.072516</v>
      </c>
      <c r="C353" s="110">
        <v>29764.0</v>
      </c>
    </row>
    <row r="354">
      <c r="A354" s="108">
        <v>44782.0</v>
      </c>
      <c r="B354" s="109">
        <v>12.766726</v>
      </c>
      <c r="C354" s="110">
        <v>15888.0</v>
      </c>
    </row>
    <row r="355">
      <c r="A355" s="108">
        <v>44783.0</v>
      </c>
      <c r="B355" s="109">
        <v>12.881397</v>
      </c>
      <c r="C355" s="110">
        <v>11478.0</v>
      </c>
    </row>
    <row r="356">
      <c r="A356" s="108">
        <v>44784.0</v>
      </c>
      <c r="B356" s="109">
        <v>12.862286</v>
      </c>
      <c r="C356" s="110">
        <v>10980.0</v>
      </c>
    </row>
    <row r="357">
      <c r="A357" s="108">
        <v>44785.0</v>
      </c>
      <c r="B357" s="109">
        <v>13.015181</v>
      </c>
      <c r="C357" s="110">
        <v>17780.0</v>
      </c>
    </row>
    <row r="358">
      <c r="A358" s="108">
        <v>44788.0</v>
      </c>
      <c r="B358" s="109">
        <v>12.996069</v>
      </c>
      <c r="C358" s="110">
        <v>8120.0</v>
      </c>
    </row>
    <row r="359">
      <c r="A359" s="108">
        <v>44789.0</v>
      </c>
      <c r="B359" s="109">
        <v>13.148964</v>
      </c>
      <c r="C359" s="110">
        <v>9449.0</v>
      </c>
    </row>
    <row r="360">
      <c r="A360" s="108">
        <v>44790.0</v>
      </c>
      <c r="B360" s="109">
        <v>12.919622</v>
      </c>
      <c r="C360" s="110">
        <v>14328.0</v>
      </c>
    </row>
    <row r="361">
      <c r="A361" s="108">
        <v>44791.0</v>
      </c>
      <c r="B361" s="109">
        <v>12.728502</v>
      </c>
      <c r="C361" s="110">
        <v>6855.0</v>
      </c>
    </row>
    <row r="362">
      <c r="A362" s="108">
        <v>44792.0</v>
      </c>
      <c r="B362" s="109">
        <v>12.709391</v>
      </c>
      <c r="C362" s="110">
        <v>9125.0</v>
      </c>
    </row>
    <row r="363">
      <c r="A363" s="108">
        <v>44795.0</v>
      </c>
      <c r="B363" s="109">
        <v>12.384489</v>
      </c>
      <c r="C363" s="110">
        <v>20408.0</v>
      </c>
    </row>
    <row r="364">
      <c r="A364" s="108">
        <v>44796.0</v>
      </c>
      <c r="B364" s="109">
        <v>12.766726</v>
      </c>
      <c r="C364" s="110">
        <v>18174.0</v>
      </c>
    </row>
    <row r="365">
      <c r="A365" s="108">
        <v>44797.0</v>
      </c>
      <c r="B365" s="109">
        <v>12.652055</v>
      </c>
      <c r="C365" s="110">
        <v>14158.0</v>
      </c>
    </row>
    <row r="366">
      <c r="A366" s="108">
        <v>44798.0</v>
      </c>
      <c r="B366" s="109">
        <v>12.613832</v>
      </c>
      <c r="C366" s="110">
        <v>3435.0</v>
      </c>
    </row>
    <row r="367">
      <c r="A367" s="108">
        <v>44799.0</v>
      </c>
      <c r="B367" s="109">
        <v>12.460938</v>
      </c>
      <c r="C367" s="110">
        <v>15477.0</v>
      </c>
    </row>
    <row r="368">
      <c r="A368" s="108">
        <v>44802.0</v>
      </c>
      <c r="B368" s="109">
        <v>12.460938</v>
      </c>
      <c r="C368" s="110">
        <v>16679.0</v>
      </c>
    </row>
    <row r="369">
      <c r="A369" s="108">
        <v>44803.0</v>
      </c>
      <c r="B369" s="109">
        <v>12.537384</v>
      </c>
      <c r="C369" s="110">
        <v>9139.0</v>
      </c>
    </row>
    <row r="370">
      <c r="A370" s="108">
        <v>44804.0</v>
      </c>
      <c r="B370" s="109">
        <v>12.28893</v>
      </c>
      <c r="C370" s="110">
        <v>26039.0</v>
      </c>
    </row>
    <row r="371">
      <c r="A371" s="108">
        <v>44805.0</v>
      </c>
      <c r="B371" s="109">
        <v>12.231594</v>
      </c>
      <c r="C371" s="110">
        <v>17918.0</v>
      </c>
    </row>
    <row r="372">
      <c r="A372" s="108">
        <v>44806.0</v>
      </c>
      <c r="B372" s="109">
        <v>12.097811</v>
      </c>
      <c r="C372" s="110">
        <v>7850.0</v>
      </c>
    </row>
    <row r="373">
      <c r="A373" s="108">
        <v>44809.0</v>
      </c>
      <c r="B373" s="109">
        <v>12.155147</v>
      </c>
      <c r="C373" s="110">
        <v>14038.0</v>
      </c>
    </row>
    <row r="374">
      <c r="A374" s="108">
        <v>44810.0</v>
      </c>
      <c r="B374" s="109">
        <v>11.906693</v>
      </c>
      <c r="C374" s="110">
        <v>11700.0</v>
      </c>
    </row>
    <row r="375">
      <c r="A375" s="108">
        <v>44811.0</v>
      </c>
      <c r="B375" s="109">
        <v>12.059587</v>
      </c>
      <c r="C375" s="110">
        <v>11347.0</v>
      </c>
    </row>
    <row r="376">
      <c r="A376" s="108">
        <v>44812.0</v>
      </c>
      <c r="B376" s="109">
        <v>12.097811</v>
      </c>
      <c r="C376" s="110">
        <v>5626.0</v>
      </c>
    </row>
    <row r="377">
      <c r="A377" s="108">
        <v>44813.0</v>
      </c>
      <c r="B377" s="109">
        <v>12.174258</v>
      </c>
      <c r="C377" s="110">
        <v>14296.0</v>
      </c>
    </row>
    <row r="378">
      <c r="A378" s="108">
        <v>44816.0</v>
      </c>
      <c r="B378" s="109">
        <v>12.422713</v>
      </c>
      <c r="C378" s="110">
        <v>19230.0</v>
      </c>
    </row>
    <row r="379">
      <c r="A379" s="108">
        <v>44817.0</v>
      </c>
      <c r="B379" s="109">
        <v>12.518272</v>
      </c>
      <c r="C379" s="110">
        <v>11479.0</v>
      </c>
    </row>
    <row r="380">
      <c r="A380" s="108">
        <v>44818.0</v>
      </c>
      <c r="B380" s="109">
        <v>12.040476</v>
      </c>
      <c r="C380" s="110">
        <v>12171.0</v>
      </c>
    </row>
    <row r="381">
      <c r="A381" s="108">
        <v>44819.0</v>
      </c>
      <c r="B381" s="109">
        <v>12.097811</v>
      </c>
      <c r="C381" s="110">
        <v>5652.0</v>
      </c>
    </row>
    <row r="382">
      <c r="A382" s="108">
        <v>44820.0</v>
      </c>
      <c r="B382" s="109">
        <v>11.772909</v>
      </c>
      <c r="C382" s="110">
        <v>31667.0</v>
      </c>
    </row>
    <row r="383">
      <c r="A383" s="108">
        <v>44823.0</v>
      </c>
      <c r="B383" s="109">
        <v>12.269818</v>
      </c>
      <c r="C383" s="110">
        <v>11510.0</v>
      </c>
    </row>
    <row r="384">
      <c r="A384" s="108">
        <v>44824.0</v>
      </c>
      <c r="B384" s="109">
        <v>11.868469</v>
      </c>
      <c r="C384" s="110">
        <v>7102.0</v>
      </c>
    </row>
    <row r="385">
      <c r="A385" s="108">
        <v>44825.0</v>
      </c>
      <c r="B385" s="109">
        <v>11.906693</v>
      </c>
      <c r="C385" s="110">
        <v>8769.0</v>
      </c>
    </row>
    <row r="386">
      <c r="A386" s="108">
        <v>44826.0</v>
      </c>
      <c r="B386" s="109">
        <v>11.562679</v>
      </c>
      <c r="C386" s="110">
        <v>12302.0</v>
      </c>
    </row>
    <row r="387">
      <c r="A387" s="108">
        <v>44827.0</v>
      </c>
      <c r="B387" s="109">
        <v>11.008435</v>
      </c>
      <c r="C387" s="110">
        <v>33215.0</v>
      </c>
    </row>
    <row r="388">
      <c r="A388" s="108">
        <v>44830.0</v>
      </c>
      <c r="B388" s="109">
        <v>10.989323</v>
      </c>
      <c r="C388" s="110">
        <v>13608.0</v>
      </c>
    </row>
    <row r="389">
      <c r="A389" s="108">
        <v>44831.0</v>
      </c>
      <c r="B389" s="109">
        <v>10.989323</v>
      </c>
      <c r="C389" s="110">
        <v>8049.0</v>
      </c>
    </row>
    <row r="390">
      <c r="A390" s="108">
        <v>44832.0</v>
      </c>
      <c r="B390" s="109">
        <v>10.951098</v>
      </c>
      <c r="C390" s="110">
        <v>12904.0</v>
      </c>
    </row>
    <row r="391">
      <c r="A391" s="108">
        <v>44833.0</v>
      </c>
      <c r="B391" s="109">
        <v>10.912875</v>
      </c>
      <c r="C391" s="110">
        <v>14694.0</v>
      </c>
    </row>
    <row r="392">
      <c r="A392" s="108">
        <v>44834.0</v>
      </c>
      <c r="B392" s="109">
        <v>10.817316</v>
      </c>
      <c r="C392" s="110">
        <v>19116.0</v>
      </c>
    </row>
    <row r="393">
      <c r="A393" s="108">
        <v>44837.0</v>
      </c>
      <c r="B393" s="109">
        <v>10.301296</v>
      </c>
      <c r="C393" s="110">
        <v>52989.0</v>
      </c>
    </row>
    <row r="394">
      <c r="A394" s="108">
        <v>44838.0</v>
      </c>
      <c r="B394" s="109">
        <v>11.027547</v>
      </c>
      <c r="C394" s="110">
        <v>17747.0</v>
      </c>
    </row>
    <row r="395">
      <c r="A395" s="108">
        <v>44839.0</v>
      </c>
      <c r="B395" s="109">
        <v>10.492414</v>
      </c>
      <c r="C395" s="110">
        <v>15350.0</v>
      </c>
    </row>
    <row r="396">
      <c r="A396" s="108">
        <v>44840.0</v>
      </c>
      <c r="B396" s="109">
        <v>10.205737</v>
      </c>
      <c r="C396" s="110">
        <v>8614.0</v>
      </c>
    </row>
    <row r="397">
      <c r="A397" s="108">
        <v>44841.0</v>
      </c>
      <c r="B397" s="109">
        <v>10.071954</v>
      </c>
      <c r="C397" s="110">
        <v>12409.0</v>
      </c>
    </row>
    <row r="398">
      <c r="A398" s="108">
        <v>44844.0</v>
      </c>
      <c r="B398" s="109">
        <v>10.24396</v>
      </c>
      <c r="C398" s="110">
        <v>13837.0</v>
      </c>
    </row>
    <row r="399">
      <c r="A399" s="108">
        <v>44845.0</v>
      </c>
      <c r="B399" s="109">
        <v>10.435079</v>
      </c>
      <c r="C399" s="110">
        <v>13246.0</v>
      </c>
    </row>
    <row r="400">
      <c r="A400" s="108">
        <v>44846.0</v>
      </c>
      <c r="B400" s="109">
        <v>10.301296</v>
      </c>
      <c r="C400" s="110">
        <v>20628.0</v>
      </c>
    </row>
    <row r="401">
      <c r="A401" s="108">
        <v>44847.0</v>
      </c>
      <c r="B401" s="109">
        <v>10.626198</v>
      </c>
      <c r="C401" s="110">
        <v>11555.0</v>
      </c>
    </row>
    <row r="402">
      <c r="A402" s="108">
        <v>44848.0</v>
      </c>
      <c r="B402" s="109">
        <v>10.893763</v>
      </c>
      <c r="C402" s="110">
        <v>12609.0</v>
      </c>
    </row>
    <row r="403">
      <c r="A403" s="108">
        <v>44851.0</v>
      </c>
      <c r="B403" s="109">
        <v>10.779093</v>
      </c>
      <c r="C403" s="110">
        <v>8083.0</v>
      </c>
    </row>
    <row r="404">
      <c r="A404" s="108">
        <v>44852.0</v>
      </c>
      <c r="B404" s="109">
        <v>11.428895</v>
      </c>
      <c r="C404" s="110">
        <v>25672.0</v>
      </c>
    </row>
    <row r="405">
      <c r="A405" s="108">
        <v>44853.0</v>
      </c>
      <c r="B405" s="109">
        <v>10.798204</v>
      </c>
      <c r="C405" s="110">
        <v>8225.0</v>
      </c>
    </row>
    <row r="406">
      <c r="A406" s="108">
        <v>44854.0</v>
      </c>
      <c r="B406" s="109">
        <v>10.721757</v>
      </c>
      <c r="C406" s="110">
        <v>20247.0</v>
      </c>
    </row>
    <row r="407">
      <c r="A407" s="108">
        <v>44855.0</v>
      </c>
      <c r="B407" s="109">
        <v>10.626198</v>
      </c>
      <c r="C407" s="110">
        <v>16752.0</v>
      </c>
    </row>
    <row r="408">
      <c r="A408" s="108">
        <v>44858.0</v>
      </c>
      <c r="B408" s="109">
        <v>10.759981</v>
      </c>
      <c r="C408" s="110">
        <v>12752.0</v>
      </c>
    </row>
    <row r="409">
      <c r="A409" s="108">
        <v>44859.0</v>
      </c>
      <c r="B409" s="109">
        <v>11.390673</v>
      </c>
      <c r="C409" s="110">
        <v>18429.0</v>
      </c>
    </row>
    <row r="410">
      <c r="A410" s="108">
        <v>44860.0</v>
      </c>
      <c r="B410" s="109">
        <v>11.218665</v>
      </c>
      <c r="C410" s="110">
        <v>7495.0</v>
      </c>
    </row>
    <row r="411">
      <c r="A411" s="108">
        <v>44861.0</v>
      </c>
      <c r="B411" s="109">
        <v>11.333337</v>
      </c>
      <c r="C411" s="110">
        <v>14865.0</v>
      </c>
    </row>
    <row r="412">
      <c r="A412" s="108">
        <v>44862.0</v>
      </c>
      <c r="B412" s="109">
        <v>11.237778</v>
      </c>
      <c r="C412" s="110">
        <v>9777.0</v>
      </c>
    </row>
    <row r="413">
      <c r="A413" s="108">
        <v>44865.0</v>
      </c>
      <c r="B413" s="109">
        <v>11.237778</v>
      </c>
      <c r="C413" s="110">
        <v>27572.0</v>
      </c>
    </row>
    <row r="414">
      <c r="A414" s="108">
        <v>44866.0</v>
      </c>
      <c r="B414" s="109">
        <v>11.581791</v>
      </c>
      <c r="C414" s="110">
        <v>16550.0</v>
      </c>
    </row>
    <row r="415">
      <c r="A415" s="108">
        <v>44867.0</v>
      </c>
      <c r="B415" s="109">
        <v>11.103994</v>
      </c>
      <c r="C415" s="110">
        <v>10672.0</v>
      </c>
    </row>
    <row r="416">
      <c r="A416" s="108">
        <v>44868.0</v>
      </c>
      <c r="B416" s="109">
        <v>10.951098</v>
      </c>
      <c r="C416" s="110">
        <v>6495.0</v>
      </c>
    </row>
    <row r="417">
      <c r="A417" s="108">
        <v>44869.0</v>
      </c>
      <c r="B417" s="109">
        <v>11.180442</v>
      </c>
      <c r="C417" s="110">
        <v>6234.0</v>
      </c>
    </row>
    <row r="418">
      <c r="A418" s="108">
        <v>44872.0</v>
      </c>
      <c r="B418" s="109">
        <v>11.390673</v>
      </c>
      <c r="C418" s="110">
        <v>5935.0</v>
      </c>
    </row>
    <row r="419">
      <c r="A419" s="108">
        <v>44873.0</v>
      </c>
      <c r="B419" s="109">
        <v>11.16133</v>
      </c>
      <c r="C419" s="110">
        <v>11102.0</v>
      </c>
    </row>
    <row r="420">
      <c r="A420" s="108">
        <v>44874.0</v>
      </c>
      <c r="B420" s="109">
        <v>11.314225</v>
      </c>
      <c r="C420" s="110">
        <v>13173.0</v>
      </c>
    </row>
    <row r="421">
      <c r="A421" s="108">
        <v>44875.0</v>
      </c>
      <c r="B421" s="109">
        <v>11.792022</v>
      </c>
      <c r="C421" s="110">
        <v>18119.0</v>
      </c>
    </row>
    <row r="422">
      <c r="A422" s="108">
        <v>44876.0</v>
      </c>
      <c r="B422" s="109">
        <v>11.792022</v>
      </c>
      <c r="C422" s="110">
        <v>9364.0</v>
      </c>
    </row>
    <row r="423">
      <c r="A423" s="108">
        <v>44879.0</v>
      </c>
      <c r="B423" s="109">
        <v>11.944916</v>
      </c>
      <c r="C423" s="110">
        <v>10995.0</v>
      </c>
    </row>
    <row r="424">
      <c r="A424" s="108">
        <v>44880.0</v>
      </c>
      <c r="B424" s="109">
        <v>11.772909</v>
      </c>
      <c r="C424" s="110">
        <v>20121.0</v>
      </c>
    </row>
    <row r="425">
      <c r="A425" s="108">
        <v>44881.0</v>
      </c>
      <c r="B425" s="109">
        <v>11.715574</v>
      </c>
      <c r="C425" s="110">
        <v>11137.0</v>
      </c>
    </row>
    <row r="426">
      <c r="A426" s="108">
        <v>44882.0</v>
      </c>
      <c r="B426" s="109">
        <v>11.811133</v>
      </c>
      <c r="C426" s="110">
        <v>11272.0</v>
      </c>
    </row>
    <row r="427">
      <c r="A427" s="108">
        <v>44883.0</v>
      </c>
      <c r="B427" s="109">
        <v>11.887581</v>
      </c>
      <c r="C427" s="110">
        <v>11092.0</v>
      </c>
    </row>
    <row r="428">
      <c r="A428" s="108">
        <v>44886.0</v>
      </c>
      <c r="B428" s="109">
        <v>11.658238</v>
      </c>
      <c r="C428" s="110">
        <v>4298.0</v>
      </c>
    </row>
    <row r="429">
      <c r="A429" s="108">
        <v>44887.0</v>
      </c>
      <c r="B429" s="109">
        <v>11.658238</v>
      </c>
      <c r="C429" s="110">
        <v>6453.0</v>
      </c>
    </row>
    <row r="430">
      <c r="A430" s="108">
        <v>44888.0</v>
      </c>
      <c r="B430" s="109">
        <v>11.830245</v>
      </c>
      <c r="C430" s="110">
        <v>5396.0</v>
      </c>
    </row>
    <row r="431">
      <c r="A431" s="108">
        <v>44889.0</v>
      </c>
      <c r="B431" s="109">
        <v>11.944916</v>
      </c>
      <c r="C431" s="110">
        <v>10696.0</v>
      </c>
    </row>
    <row r="432">
      <c r="A432" s="108">
        <v>44890.0</v>
      </c>
      <c r="B432" s="109">
        <v>11.887581</v>
      </c>
      <c r="C432" s="110">
        <v>3412.0</v>
      </c>
    </row>
    <row r="433">
      <c r="A433" s="108">
        <v>44893.0</v>
      </c>
      <c r="B433" s="109">
        <v>11.734686</v>
      </c>
      <c r="C433" s="110">
        <v>76168.0</v>
      </c>
    </row>
    <row r="434">
      <c r="A434" s="108">
        <v>44894.0</v>
      </c>
      <c r="B434" s="109">
        <v>11.830245</v>
      </c>
      <c r="C434" s="110">
        <v>8184.0</v>
      </c>
    </row>
    <row r="435">
      <c r="A435" s="108">
        <v>44895.0</v>
      </c>
      <c r="B435" s="109">
        <v>11.753798</v>
      </c>
      <c r="C435" s="110">
        <v>12971.0</v>
      </c>
    </row>
    <row r="436">
      <c r="A436" s="108">
        <v>44896.0</v>
      </c>
      <c r="B436" s="109">
        <v>11.98314</v>
      </c>
      <c r="C436" s="110">
        <v>23469.0</v>
      </c>
    </row>
    <row r="437">
      <c r="A437" s="108">
        <v>44897.0</v>
      </c>
      <c r="B437" s="109">
        <v>11.830245</v>
      </c>
      <c r="C437" s="110">
        <v>22868.0</v>
      </c>
    </row>
    <row r="438">
      <c r="A438" s="108">
        <v>44900.0</v>
      </c>
      <c r="B438" s="109">
        <v>12.078699</v>
      </c>
      <c r="C438" s="110">
        <v>5994.0</v>
      </c>
    </row>
    <row r="439">
      <c r="A439" s="108">
        <v>44901.0</v>
      </c>
      <c r="B439" s="109">
        <v>11.868469</v>
      </c>
      <c r="C439" s="110">
        <v>19489.0</v>
      </c>
    </row>
    <row r="440">
      <c r="A440" s="108">
        <v>44902.0</v>
      </c>
      <c r="B440" s="109">
        <v>11.715574</v>
      </c>
      <c r="C440" s="110">
        <v>6993.0</v>
      </c>
    </row>
    <row r="441">
      <c r="A441" s="108">
        <v>44903.0</v>
      </c>
      <c r="B441" s="109">
        <v>11.67735</v>
      </c>
      <c r="C441" s="110">
        <v>8097.0</v>
      </c>
    </row>
    <row r="442">
      <c r="A442" s="108">
        <v>44904.0</v>
      </c>
      <c r="B442" s="109">
        <v>12.116923</v>
      </c>
      <c r="C442" s="110">
        <v>18741.0</v>
      </c>
    </row>
    <row r="443">
      <c r="A443" s="108">
        <v>44907.0</v>
      </c>
      <c r="B443" s="109">
        <v>11.906693</v>
      </c>
      <c r="C443" s="110">
        <v>6806.0</v>
      </c>
    </row>
    <row r="444">
      <c r="A444" s="108">
        <v>44908.0</v>
      </c>
      <c r="B444" s="109">
        <v>11.887581</v>
      </c>
      <c r="C444" s="110">
        <v>11701.0</v>
      </c>
    </row>
    <row r="445">
      <c r="A445" s="108">
        <v>44909.0</v>
      </c>
      <c r="B445" s="109">
        <v>11.944916</v>
      </c>
      <c r="C445" s="110">
        <v>17430.0</v>
      </c>
    </row>
    <row r="446">
      <c r="A446" s="108">
        <v>44910.0</v>
      </c>
      <c r="B446" s="109">
        <v>11.868469</v>
      </c>
      <c r="C446" s="110">
        <v>14277.0</v>
      </c>
    </row>
    <row r="447">
      <c r="A447" s="108">
        <v>44911.0</v>
      </c>
      <c r="B447" s="109">
        <v>11.887581</v>
      </c>
      <c r="C447" s="110">
        <v>10744.0</v>
      </c>
    </row>
    <row r="448">
      <c r="A448" s="108">
        <v>44914.0</v>
      </c>
      <c r="B448" s="109">
        <v>12.384489</v>
      </c>
      <c r="C448" s="110">
        <v>13638.0</v>
      </c>
    </row>
    <row r="449">
      <c r="A449" s="108">
        <v>44915.0</v>
      </c>
      <c r="B449" s="109">
        <v>12.059587</v>
      </c>
      <c r="C449" s="110">
        <v>5010.0</v>
      </c>
    </row>
    <row r="450">
      <c r="A450" s="108">
        <v>44916.0</v>
      </c>
      <c r="B450" s="109">
        <v>12.384489</v>
      </c>
      <c r="C450" s="110">
        <v>9945.0</v>
      </c>
    </row>
    <row r="451">
      <c r="A451" s="108">
        <v>44917.0</v>
      </c>
      <c r="B451" s="109">
        <v>12.556496</v>
      </c>
      <c r="C451" s="110">
        <v>9419.0</v>
      </c>
    </row>
    <row r="452">
      <c r="A452" s="108">
        <v>44918.0</v>
      </c>
      <c r="B452" s="109">
        <v>12.537384</v>
      </c>
      <c r="C452" s="110">
        <v>27754.0</v>
      </c>
    </row>
    <row r="453">
      <c r="A453" s="108">
        <v>44922.0</v>
      </c>
      <c r="B453" s="109">
        <v>12.766726</v>
      </c>
      <c r="C453" s="110">
        <v>12772.0</v>
      </c>
    </row>
    <row r="454">
      <c r="A454" s="108">
        <v>44923.0</v>
      </c>
      <c r="B454" s="109">
        <v>12.728502</v>
      </c>
      <c r="C454" s="110">
        <v>27476.0</v>
      </c>
    </row>
    <row r="455">
      <c r="A455" s="108">
        <v>44924.0</v>
      </c>
      <c r="B455" s="109">
        <v>12.824062</v>
      </c>
      <c r="C455" s="110">
        <v>6092.0</v>
      </c>
    </row>
    <row r="456">
      <c r="A456" s="108">
        <v>44925.0</v>
      </c>
      <c r="B456" s="109">
        <v>12.785838</v>
      </c>
      <c r="C456" s="110">
        <v>27651.0</v>
      </c>
    </row>
    <row r="457">
      <c r="A457" s="108">
        <v>44928.0</v>
      </c>
      <c r="B457" s="109">
        <v>12.996069</v>
      </c>
      <c r="C457" s="110">
        <v>7757.0</v>
      </c>
    </row>
    <row r="458">
      <c r="A458" s="108">
        <v>44929.0</v>
      </c>
      <c r="B458" s="109">
        <v>13.191499</v>
      </c>
      <c r="C458" s="110">
        <v>12405.0</v>
      </c>
    </row>
    <row r="459">
      <c r="A459" s="108">
        <v>44930.0</v>
      </c>
      <c r="B459" s="109">
        <v>13.386929</v>
      </c>
      <c r="C459" s="110">
        <v>18168.0</v>
      </c>
    </row>
    <row r="460">
      <c r="A460" s="108">
        <v>44931.0</v>
      </c>
      <c r="B460" s="109">
        <v>13.26967</v>
      </c>
      <c r="C460" s="110">
        <v>4342.0</v>
      </c>
    </row>
    <row r="461">
      <c r="A461" s="108">
        <v>44932.0</v>
      </c>
      <c r="B461" s="109">
        <v>13.211042</v>
      </c>
      <c r="C461" s="110">
        <v>5404.0</v>
      </c>
    </row>
    <row r="462">
      <c r="A462" s="108">
        <v>44935.0</v>
      </c>
      <c r="B462" s="109">
        <v>13.230585</v>
      </c>
      <c r="C462" s="110">
        <v>11223.0</v>
      </c>
    </row>
    <row r="463">
      <c r="A463" s="108">
        <v>44936.0</v>
      </c>
      <c r="B463" s="109">
        <v>13.289214</v>
      </c>
      <c r="C463" s="110">
        <v>2590.0</v>
      </c>
    </row>
    <row r="464">
      <c r="A464" s="108">
        <v>44937.0</v>
      </c>
      <c r="B464" s="109">
        <v>13.289214</v>
      </c>
      <c r="C464" s="110">
        <v>10325.0</v>
      </c>
    </row>
    <row r="465">
      <c r="A465" s="108">
        <v>44938.0</v>
      </c>
      <c r="B465" s="109">
        <v>13.347842</v>
      </c>
      <c r="C465" s="110">
        <v>6645.0</v>
      </c>
    </row>
    <row r="466">
      <c r="A466" s="108">
        <v>44939.0</v>
      </c>
      <c r="B466" s="109">
        <v>13.777788</v>
      </c>
      <c r="C466" s="110">
        <v>26299.0</v>
      </c>
    </row>
    <row r="467">
      <c r="A467" s="108">
        <v>44942.0</v>
      </c>
      <c r="B467" s="109">
        <v>14.070931</v>
      </c>
      <c r="C467" s="110">
        <v>16225.0</v>
      </c>
    </row>
    <row r="468">
      <c r="A468" s="108">
        <v>44943.0</v>
      </c>
      <c r="B468" s="109">
        <v>13.621444</v>
      </c>
      <c r="C468" s="110">
        <v>21287.0</v>
      </c>
    </row>
    <row r="469">
      <c r="A469" s="108">
        <v>44944.0</v>
      </c>
      <c r="B469" s="109">
        <v>13.543272</v>
      </c>
      <c r="C469" s="110">
        <v>12898.0</v>
      </c>
    </row>
    <row r="470">
      <c r="A470" s="108">
        <v>44945.0</v>
      </c>
      <c r="B470" s="109">
        <v>13.171955</v>
      </c>
      <c r="C470" s="110">
        <v>16958.0</v>
      </c>
    </row>
    <row r="471">
      <c r="A471" s="108">
        <v>44946.0</v>
      </c>
      <c r="B471" s="109">
        <v>12.898355</v>
      </c>
      <c r="C471" s="110">
        <v>6840.0</v>
      </c>
    </row>
    <row r="472">
      <c r="A472" s="108">
        <v>44949.0</v>
      </c>
      <c r="B472" s="109">
        <v>12.566124</v>
      </c>
      <c r="C472" s="110">
        <v>29590.0</v>
      </c>
    </row>
    <row r="473">
      <c r="A473" s="108">
        <v>44950.0</v>
      </c>
      <c r="B473" s="109">
        <v>12.429323</v>
      </c>
      <c r="C473" s="110">
        <v>14862.0</v>
      </c>
    </row>
    <row r="474">
      <c r="A474" s="108">
        <v>44951.0</v>
      </c>
      <c r="B474" s="109">
        <v>12.487952</v>
      </c>
      <c r="C474" s="110">
        <v>8377.0</v>
      </c>
    </row>
    <row r="475">
      <c r="A475" s="108">
        <v>44952.0</v>
      </c>
      <c r="B475" s="109">
        <v>12.448866</v>
      </c>
      <c r="C475" s="110">
        <v>8319.0</v>
      </c>
    </row>
    <row r="476">
      <c r="A476" s="108">
        <v>44953.0</v>
      </c>
      <c r="B476" s="109">
        <v>12.605209</v>
      </c>
      <c r="C476" s="110">
        <v>6578.0</v>
      </c>
    </row>
    <row r="477">
      <c r="A477" s="108">
        <v>44956.0</v>
      </c>
      <c r="B477" s="109">
        <v>12.175264</v>
      </c>
      <c r="C477" s="110">
        <v>16145.0</v>
      </c>
    </row>
    <row r="478">
      <c r="A478" s="108">
        <v>44957.0</v>
      </c>
      <c r="B478" s="109">
        <v>12.058007</v>
      </c>
      <c r="C478" s="110">
        <v>12500.0</v>
      </c>
    </row>
    <row r="479">
      <c r="A479" s="108">
        <v>44958.0</v>
      </c>
      <c r="B479" s="109">
        <v>12.585667</v>
      </c>
      <c r="C479" s="110">
        <v>10309.0</v>
      </c>
    </row>
    <row r="480">
      <c r="A480" s="108">
        <v>44959.0</v>
      </c>
      <c r="B480" s="109">
        <v>12.487952</v>
      </c>
      <c r="C480" s="110">
        <v>16130.0</v>
      </c>
    </row>
    <row r="481">
      <c r="A481" s="108">
        <v>44960.0</v>
      </c>
      <c r="B481" s="109">
        <v>12.487952</v>
      </c>
      <c r="C481" s="110">
        <v>11379.0</v>
      </c>
    </row>
    <row r="482">
      <c r="A482" s="108">
        <v>44963.0</v>
      </c>
      <c r="B482" s="109">
        <v>12.624753</v>
      </c>
      <c r="C482" s="110">
        <v>17979.0</v>
      </c>
    </row>
    <row r="483">
      <c r="A483" s="108">
        <v>44964.0</v>
      </c>
      <c r="B483" s="109">
        <v>13.074241</v>
      </c>
      <c r="C483" s="110">
        <v>21934.0</v>
      </c>
    </row>
    <row r="484">
      <c r="A484" s="108">
        <v>44965.0</v>
      </c>
      <c r="B484" s="109">
        <v>12.878812</v>
      </c>
      <c r="C484" s="110">
        <v>17801.0</v>
      </c>
    </row>
    <row r="485">
      <c r="A485" s="108">
        <v>44966.0</v>
      </c>
      <c r="B485" s="109">
        <v>13.074241</v>
      </c>
      <c r="C485" s="110">
        <v>7474.0</v>
      </c>
    </row>
    <row r="486">
      <c r="A486" s="108">
        <v>44967.0</v>
      </c>
      <c r="B486" s="109">
        <v>12.976526</v>
      </c>
      <c r="C486" s="110">
        <v>16245.0</v>
      </c>
    </row>
    <row r="487">
      <c r="A487" s="108">
        <v>44970.0</v>
      </c>
      <c r="B487" s="109">
        <v>13.26967</v>
      </c>
      <c r="C487" s="110">
        <v>9758.0</v>
      </c>
    </row>
    <row r="488">
      <c r="A488" s="108">
        <v>44971.0</v>
      </c>
      <c r="B488" s="109">
        <v>13.308757</v>
      </c>
      <c r="C488" s="110">
        <v>26376.0</v>
      </c>
    </row>
    <row r="489">
      <c r="A489" s="108">
        <v>44972.0</v>
      </c>
      <c r="B489" s="109">
        <v>13.4651</v>
      </c>
      <c r="C489" s="110">
        <v>17454.0</v>
      </c>
    </row>
    <row r="490">
      <c r="A490" s="108">
        <v>44973.0</v>
      </c>
      <c r="B490" s="109">
        <v>13.289214</v>
      </c>
      <c r="C490" s="110">
        <v>9247.0</v>
      </c>
    </row>
    <row r="491">
      <c r="A491" s="108">
        <v>44974.0</v>
      </c>
      <c r="B491" s="109">
        <v>13.26967</v>
      </c>
      <c r="C491" s="110">
        <v>8908.0</v>
      </c>
    </row>
    <row r="492">
      <c r="A492" s="108">
        <v>44977.0</v>
      </c>
      <c r="B492" s="109">
        <v>13.4651</v>
      </c>
      <c r="C492" s="110">
        <v>7179.0</v>
      </c>
    </row>
    <row r="493">
      <c r="A493" s="108">
        <v>44978.0</v>
      </c>
      <c r="B493" s="109">
        <v>13.250128</v>
      </c>
      <c r="C493" s="110">
        <v>12601.0</v>
      </c>
    </row>
    <row r="494">
      <c r="A494" s="108">
        <v>44979.0</v>
      </c>
      <c r="B494" s="109">
        <v>13.152412</v>
      </c>
      <c r="C494" s="110">
        <v>8758.0</v>
      </c>
    </row>
    <row r="495">
      <c r="A495" s="108">
        <v>44980.0</v>
      </c>
      <c r="B495" s="109">
        <v>13.386929</v>
      </c>
      <c r="C495" s="110">
        <v>6690.0</v>
      </c>
    </row>
    <row r="496">
      <c r="A496" s="108">
        <v>44981.0</v>
      </c>
      <c r="B496" s="109">
        <v>13.211042</v>
      </c>
      <c r="C496" s="110">
        <v>6119.0</v>
      </c>
    </row>
    <row r="497">
      <c r="A497" s="108">
        <v>44984.0</v>
      </c>
      <c r="B497" s="109">
        <v>13.250128</v>
      </c>
      <c r="C497" s="110">
        <v>10612.0</v>
      </c>
    </row>
    <row r="498">
      <c r="A498" s="108">
        <v>44985.0</v>
      </c>
      <c r="B498" s="109">
        <v>12.781096</v>
      </c>
      <c r="C498" s="110">
        <v>33958.0</v>
      </c>
    </row>
    <row r="499">
      <c r="A499" s="108">
        <v>44986.0</v>
      </c>
      <c r="B499" s="109">
        <v>12.820183</v>
      </c>
      <c r="C499" s="110">
        <v>11371.0</v>
      </c>
    </row>
    <row r="500">
      <c r="A500" s="108">
        <v>44987.0</v>
      </c>
      <c r="B500" s="109">
        <v>12.996069</v>
      </c>
      <c r="C500" s="110">
        <v>10451.0</v>
      </c>
    </row>
    <row r="501">
      <c r="A501" s="108">
        <v>44988.0</v>
      </c>
      <c r="B501" s="109">
        <v>13.738702</v>
      </c>
      <c r="C501" s="110">
        <v>70537.0</v>
      </c>
    </row>
    <row r="502">
      <c r="A502" s="108">
        <v>44991.0</v>
      </c>
      <c r="B502" s="109">
        <v>13.13287</v>
      </c>
      <c r="C502" s="110">
        <v>43737.0</v>
      </c>
    </row>
    <row r="503">
      <c r="A503" s="108">
        <v>44992.0</v>
      </c>
      <c r="B503" s="109">
        <v>13.035155</v>
      </c>
      <c r="C503" s="110">
        <v>29973.0</v>
      </c>
    </row>
    <row r="504">
      <c r="A504" s="108">
        <v>44993.0</v>
      </c>
      <c r="B504" s="109">
        <v>13.250128</v>
      </c>
      <c r="C504" s="110">
        <v>19458.0</v>
      </c>
    </row>
    <row r="505">
      <c r="A505" s="108">
        <v>44994.0</v>
      </c>
      <c r="B505" s="109">
        <v>13.211042</v>
      </c>
      <c r="C505" s="110">
        <v>19019.0</v>
      </c>
    </row>
    <row r="506">
      <c r="A506" s="108">
        <v>44995.0</v>
      </c>
      <c r="B506" s="109">
        <v>12.859268</v>
      </c>
      <c r="C506" s="110">
        <v>29953.0</v>
      </c>
    </row>
    <row r="507">
      <c r="A507" s="108">
        <v>44998.0</v>
      </c>
      <c r="B507" s="109">
        <v>12.487952</v>
      </c>
      <c r="C507" s="110">
        <v>27666.0</v>
      </c>
    </row>
    <row r="508">
      <c r="A508" s="108">
        <v>44999.0</v>
      </c>
      <c r="B508" s="109">
        <v>12.605209</v>
      </c>
      <c r="C508" s="110">
        <v>30319.0</v>
      </c>
    </row>
    <row r="509">
      <c r="A509" s="108">
        <v>45000.0</v>
      </c>
      <c r="B509" s="109">
        <v>12.214351</v>
      </c>
      <c r="C509" s="110">
        <v>10462.0</v>
      </c>
    </row>
    <row r="510">
      <c r="A510" s="108">
        <v>45001.0</v>
      </c>
      <c r="B510" s="109">
        <v>12.292522</v>
      </c>
      <c r="C510" s="110">
        <v>20727.0</v>
      </c>
    </row>
    <row r="511">
      <c r="A511" s="108">
        <v>45002.0</v>
      </c>
      <c r="B511" s="109">
        <v>12.155722</v>
      </c>
      <c r="C511" s="110">
        <v>11703.0</v>
      </c>
    </row>
    <row r="512">
      <c r="A512" s="108">
        <v>45005.0</v>
      </c>
      <c r="B512" s="109">
        <v>12.097093</v>
      </c>
      <c r="C512" s="110">
        <v>18260.0</v>
      </c>
    </row>
    <row r="513">
      <c r="A513" s="108">
        <v>45006.0</v>
      </c>
      <c r="B513" s="109">
        <v>12.097093</v>
      </c>
      <c r="C513" s="110">
        <v>16866.0</v>
      </c>
    </row>
    <row r="514">
      <c r="A514" s="108">
        <v>45007.0</v>
      </c>
      <c r="B514" s="109">
        <v>12.058007</v>
      </c>
      <c r="C514" s="110">
        <v>28436.0</v>
      </c>
    </row>
    <row r="515">
      <c r="A515" s="108">
        <v>45008.0</v>
      </c>
      <c r="B515" s="109">
        <v>12.194807</v>
      </c>
      <c r="C515" s="110">
        <v>12207.0</v>
      </c>
    </row>
    <row r="516">
      <c r="A516" s="108">
        <v>45009.0</v>
      </c>
      <c r="B516" s="109">
        <v>11.862577</v>
      </c>
      <c r="C516" s="110">
        <v>20784.0</v>
      </c>
    </row>
    <row r="517">
      <c r="A517" s="108">
        <v>45012.0</v>
      </c>
      <c r="B517" s="109">
        <v>11.803948</v>
      </c>
      <c r="C517" s="110">
        <v>12473.0</v>
      </c>
    </row>
    <row r="518">
      <c r="A518" s="108">
        <v>45013.0</v>
      </c>
      <c r="B518" s="109">
        <v>11.608519</v>
      </c>
      <c r="C518" s="110">
        <v>15729.0</v>
      </c>
    </row>
    <row r="519">
      <c r="A519" s="108">
        <v>45014.0</v>
      </c>
      <c r="B519" s="109">
        <v>11.725777</v>
      </c>
      <c r="C519" s="110">
        <v>12713.0</v>
      </c>
    </row>
    <row r="520">
      <c r="A520" s="108">
        <v>45015.0</v>
      </c>
      <c r="B520" s="109">
        <v>11.764863</v>
      </c>
      <c r="C520" s="110">
        <v>10218.0</v>
      </c>
    </row>
    <row r="521">
      <c r="A521" s="108">
        <v>45016.0</v>
      </c>
      <c r="B521" s="109">
        <v>11.74532</v>
      </c>
      <c r="C521" s="110">
        <v>18459.0</v>
      </c>
    </row>
    <row r="522">
      <c r="A522" s="108">
        <v>45019.0</v>
      </c>
      <c r="B522" s="109">
        <v>11.628061</v>
      </c>
      <c r="C522" s="110">
        <v>14710.0</v>
      </c>
    </row>
    <row r="523">
      <c r="A523" s="108">
        <v>45020.0</v>
      </c>
      <c r="B523" s="109">
        <v>11.530347</v>
      </c>
      <c r="C523" s="110">
        <v>30748.0</v>
      </c>
    </row>
    <row r="524">
      <c r="A524" s="108">
        <v>45021.0</v>
      </c>
      <c r="B524" s="109">
        <v>11.237203</v>
      </c>
      <c r="C524" s="110">
        <v>17392.0</v>
      </c>
    </row>
    <row r="525">
      <c r="A525" s="108">
        <v>45022.0</v>
      </c>
      <c r="B525" s="109">
        <v>11.237203</v>
      </c>
      <c r="C525" s="110">
        <v>11423.0</v>
      </c>
    </row>
    <row r="526">
      <c r="A526" s="108">
        <v>45027.0</v>
      </c>
      <c r="B526" s="109">
        <v>11.276289</v>
      </c>
      <c r="C526" s="110">
        <v>12281.0</v>
      </c>
    </row>
    <row r="527">
      <c r="A527" s="108">
        <v>45028.0</v>
      </c>
      <c r="B527" s="109">
        <v>11.295832</v>
      </c>
      <c r="C527" s="110">
        <v>25601.0</v>
      </c>
    </row>
    <row r="528">
      <c r="A528" s="108">
        <v>45029.0</v>
      </c>
      <c r="B528" s="109">
        <v>11.276289</v>
      </c>
      <c r="C528" s="110">
        <v>23435.0</v>
      </c>
    </row>
    <row r="529">
      <c r="A529" s="108">
        <v>45030.0</v>
      </c>
      <c r="B529" s="109">
        <v>11.256746</v>
      </c>
      <c r="C529" s="110">
        <v>15107.0</v>
      </c>
    </row>
    <row r="530">
      <c r="A530" s="108">
        <v>45033.0</v>
      </c>
      <c r="B530" s="109">
        <v>11.334918</v>
      </c>
      <c r="C530" s="110">
        <v>19577.0</v>
      </c>
    </row>
    <row r="531">
      <c r="A531" s="108">
        <v>45034.0</v>
      </c>
      <c r="B531" s="109">
        <v>11.452175</v>
      </c>
      <c r="C531" s="110">
        <v>8039.0</v>
      </c>
    </row>
    <row r="532">
      <c r="A532" s="108">
        <v>45035.0</v>
      </c>
      <c r="B532" s="109">
        <v>11.354461</v>
      </c>
      <c r="C532" s="110">
        <v>12997.0</v>
      </c>
    </row>
    <row r="533">
      <c r="A533" s="108">
        <v>45036.0</v>
      </c>
      <c r="B533" s="109">
        <v>11.315374</v>
      </c>
      <c r="C533" s="110">
        <v>15925.0</v>
      </c>
    </row>
    <row r="534">
      <c r="A534" s="108">
        <v>45037.0</v>
      </c>
      <c r="B534" s="109">
        <v>11.295832</v>
      </c>
      <c r="C534" s="110">
        <v>12370.0</v>
      </c>
    </row>
    <row r="535">
      <c r="A535" s="108">
        <v>45040.0</v>
      </c>
      <c r="B535" s="109">
        <v>11.178574</v>
      </c>
      <c r="C535" s="110">
        <v>9209.0</v>
      </c>
    </row>
    <row r="536">
      <c r="A536" s="108">
        <v>45041.0</v>
      </c>
      <c r="B536" s="109">
        <v>10.963601</v>
      </c>
      <c r="C536" s="110">
        <v>19796.0</v>
      </c>
    </row>
    <row r="537">
      <c r="A537" s="108">
        <v>45042.0</v>
      </c>
      <c r="B537" s="109">
        <v>11.02223</v>
      </c>
      <c r="C537" s="110">
        <v>30231.0</v>
      </c>
    </row>
    <row r="538">
      <c r="A538" s="108">
        <v>45043.0</v>
      </c>
      <c r="B538" s="109">
        <v>11.100402</v>
      </c>
      <c r="C538" s="110">
        <v>18131.0</v>
      </c>
    </row>
    <row r="539">
      <c r="A539" s="108">
        <v>45044.0</v>
      </c>
      <c r="B539" s="109">
        <v>11.178574</v>
      </c>
      <c r="C539" s="110">
        <v>7946.0</v>
      </c>
    </row>
    <row r="540">
      <c r="A540" s="108">
        <v>45048.0</v>
      </c>
      <c r="B540" s="109">
        <v>11.491261</v>
      </c>
      <c r="C540" s="110">
        <v>16108.0</v>
      </c>
    </row>
    <row r="541">
      <c r="A541" s="108">
        <v>45049.0</v>
      </c>
      <c r="B541" s="109">
        <v>11.178574</v>
      </c>
      <c r="C541" s="110">
        <v>16216.0</v>
      </c>
    </row>
    <row r="542">
      <c r="A542" s="108">
        <v>45050.0</v>
      </c>
      <c r="B542" s="109">
        <v>11.334918</v>
      </c>
      <c r="C542" s="110">
        <v>12139.0</v>
      </c>
    </row>
    <row r="543">
      <c r="A543" s="108">
        <v>45051.0</v>
      </c>
      <c r="B543" s="109">
        <v>11.276289</v>
      </c>
      <c r="C543" s="110">
        <v>13392.0</v>
      </c>
    </row>
    <row r="544">
      <c r="A544" s="108">
        <v>45054.0</v>
      </c>
      <c r="B544" s="109">
        <v>11.139487</v>
      </c>
      <c r="C544" s="110">
        <v>5882.0</v>
      </c>
    </row>
    <row r="545">
      <c r="A545" s="108">
        <v>45055.0</v>
      </c>
      <c r="B545" s="109">
        <v>11.02223</v>
      </c>
      <c r="C545" s="110">
        <v>20050.0</v>
      </c>
    </row>
    <row r="546">
      <c r="A546" s="108">
        <v>45056.0</v>
      </c>
      <c r="B546" s="109">
        <v>11.02223</v>
      </c>
      <c r="C546" s="110">
        <v>8601.0</v>
      </c>
    </row>
    <row r="547">
      <c r="A547" s="108">
        <v>45057.0</v>
      </c>
      <c r="B547" s="109">
        <v>11.02223</v>
      </c>
      <c r="C547" s="110">
        <v>28814.0</v>
      </c>
    </row>
    <row r="548">
      <c r="A548" s="108">
        <v>45058.0</v>
      </c>
      <c r="B548" s="109">
        <v>10.963601</v>
      </c>
      <c r="C548" s="110">
        <v>10945.0</v>
      </c>
    </row>
    <row r="549">
      <c r="A549" s="108">
        <v>45061.0</v>
      </c>
      <c r="B549" s="109">
        <v>10.885429</v>
      </c>
      <c r="C549" s="110">
        <v>8296.0</v>
      </c>
    </row>
    <row r="550">
      <c r="A550" s="108">
        <v>45062.0</v>
      </c>
      <c r="B550" s="109">
        <v>10.846344</v>
      </c>
      <c r="C550" s="110">
        <v>12592.0</v>
      </c>
    </row>
    <row r="551">
      <c r="A551" s="108">
        <v>45063.0</v>
      </c>
      <c r="B551" s="109">
        <v>10.8268</v>
      </c>
      <c r="C551" s="110">
        <v>9343.0</v>
      </c>
    </row>
    <row r="552">
      <c r="A552" s="108">
        <v>45064.0</v>
      </c>
      <c r="B552" s="109">
        <v>10.8268</v>
      </c>
      <c r="C552" s="110">
        <v>8511.0</v>
      </c>
    </row>
    <row r="553">
      <c r="A553" s="108">
        <v>45065.0</v>
      </c>
      <c r="B553" s="109">
        <v>10.807258</v>
      </c>
      <c r="C553" s="110">
        <v>15503.0</v>
      </c>
    </row>
    <row r="554">
      <c r="A554" s="108">
        <v>45068.0</v>
      </c>
      <c r="B554" s="109">
        <v>11.061316</v>
      </c>
      <c r="C554" s="110">
        <v>12730.0</v>
      </c>
    </row>
    <row r="555">
      <c r="A555" s="108">
        <v>45069.0</v>
      </c>
      <c r="B555" s="109">
        <v>11.647605</v>
      </c>
      <c r="C555" s="110">
        <v>21809.0</v>
      </c>
    </row>
    <row r="556">
      <c r="A556" s="108">
        <v>45070.0</v>
      </c>
      <c r="B556" s="109">
        <v>11.256746</v>
      </c>
      <c r="C556" s="110">
        <v>45686.0</v>
      </c>
    </row>
    <row r="557">
      <c r="A557" s="108">
        <v>45071.0</v>
      </c>
      <c r="B557" s="109">
        <v>11.334918</v>
      </c>
      <c r="C557" s="110">
        <v>17427.0</v>
      </c>
    </row>
    <row r="558">
      <c r="A558" s="108">
        <v>45072.0</v>
      </c>
      <c r="B558" s="109">
        <v>11.471718</v>
      </c>
      <c r="C558" s="110">
        <v>17640.0</v>
      </c>
    </row>
    <row r="559">
      <c r="A559" s="108">
        <v>45075.0</v>
      </c>
      <c r="B559" s="109">
        <v>11.647605</v>
      </c>
      <c r="C559" s="110">
        <v>9848.0</v>
      </c>
    </row>
    <row r="560">
      <c r="A560" s="108">
        <v>45076.0</v>
      </c>
      <c r="B560" s="109">
        <v>11.432632</v>
      </c>
      <c r="C560" s="110">
        <v>7904.0</v>
      </c>
    </row>
    <row r="561">
      <c r="A561" s="108">
        <v>45077.0</v>
      </c>
      <c r="B561" s="109">
        <v>11.256746</v>
      </c>
      <c r="C561" s="110">
        <v>16868.0</v>
      </c>
    </row>
    <row r="562">
      <c r="A562" s="108">
        <v>45078.0</v>
      </c>
      <c r="B562" s="109">
        <v>11.334918</v>
      </c>
      <c r="C562" s="110">
        <v>8761.0</v>
      </c>
    </row>
    <row r="563">
      <c r="A563" s="108">
        <v>45079.0</v>
      </c>
      <c r="B563" s="109">
        <v>11.452175</v>
      </c>
      <c r="C563" s="110">
        <v>6954.0</v>
      </c>
    </row>
    <row r="564">
      <c r="A564" s="108">
        <v>45082.0</v>
      </c>
      <c r="B564" s="109">
        <v>11.432632</v>
      </c>
      <c r="C564" s="110">
        <v>6482.0</v>
      </c>
    </row>
    <row r="565">
      <c r="A565" s="108">
        <v>45083.0</v>
      </c>
      <c r="B565" s="109">
        <v>11.491261</v>
      </c>
      <c r="C565" s="110">
        <v>4654.0</v>
      </c>
    </row>
    <row r="566">
      <c r="A566" s="108">
        <v>45084.0</v>
      </c>
      <c r="B566" s="109">
        <v>11.725777</v>
      </c>
      <c r="C566" s="110">
        <v>19931.0</v>
      </c>
    </row>
    <row r="567">
      <c r="A567" s="108">
        <v>45085.0</v>
      </c>
      <c r="B567" s="109">
        <v>11.530347</v>
      </c>
      <c r="C567" s="110">
        <v>8014.0</v>
      </c>
    </row>
    <row r="568">
      <c r="A568" s="108">
        <v>45086.0</v>
      </c>
      <c r="B568" s="109">
        <v>11.530347</v>
      </c>
      <c r="C568" s="110">
        <v>7563.0</v>
      </c>
    </row>
    <row r="569">
      <c r="A569" s="108">
        <v>45089.0</v>
      </c>
      <c r="B569" s="109">
        <v>11.569433</v>
      </c>
      <c r="C569" s="110">
        <v>11080.0</v>
      </c>
    </row>
    <row r="570">
      <c r="A570" s="108">
        <v>45090.0</v>
      </c>
      <c r="B570" s="109">
        <v>11.667148</v>
      </c>
      <c r="C570" s="110">
        <v>11087.0</v>
      </c>
    </row>
    <row r="571">
      <c r="A571" s="108">
        <v>45091.0</v>
      </c>
      <c r="B571" s="109">
        <v>11.667148</v>
      </c>
      <c r="C571" s="110">
        <v>14001.0</v>
      </c>
    </row>
    <row r="572">
      <c r="A572" s="108">
        <v>45092.0</v>
      </c>
      <c r="B572" s="109">
        <v>11.74532</v>
      </c>
      <c r="C572" s="110">
        <v>4687.0</v>
      </c>
    </row>
    <row r="573">
      <c r="A573" s="108">
        <v>45093.0</v>
      </c>
      <c r="B573" s="109">
        <v>11.588976</v>
      </c>
      <c r="C573" s="110">
        <v>12139.0</v>
      </c>
    </row>
    <row r="574">
      <c r="A574" s="108">
        <v>45096.0</v>
      </c>
      <c r="B574" s="109">
        <v>11.432632</v>
      </c>
      <c r="C574" s="110">
        <v>22563.0</v>
      </c>
    </row>
    <row r="575">
      <c r="A575" s="108">
        <v>45097.0</v>
      </c>
      <c r="B575" s="109">
        <v>11.354461</v>
      </c>
      <c r="C575" s="110">
        <v>14859.0</v>
      </c>
    </row>
    <row r="576">
      <c r="A576" s="108">
        <v>45098.0</v>
      </c>
      <c r="B576" s="109">
        <v>11.334918</v>
      </c>
      <c r="C576" s="110">
        <v>7555.0</v>
      </c>
    </row>
    <row r="577">
      <c r="A577" s="108">
        <v>45099.0</v>
      </c>
      <c r="B577" s="109">
        <v>11.491261</v>
      </c>
      <c r="C577" s="110">
        <v>13360.0</v>
      </c>
    </row>
    <row r="578">
      <c r="A578" s="108">
        <v>45100.0</v>
      </c>
      <c r="B578" s="109">
        <v>11.139487</v>
      </c>
      <c r="C578" s="110">
        <v>30618.0</v>
      </c>
    </row>
    <row r="579">
      <c r="A579" s="108">
        <v>45103.0</v>
      </c>
      <c r="B579" s="109">
        <v>10.963601</v>
      </c>
      <c r="C579" s="110">
        <v>13645.0</v>
      </c>
    </row>
    <row r="580">
      <c r="A580" s="108">
        <v>45104.0</v>
      </c>
      <c r="B580" s="109">
        <v>11.178574</v>
      </c>
      <c r="C580" s="110">
        <v>5979.0</v>
      </c>
    </row>
    <row r="581">
      <c r="A581" s="108">
        <v>45105.0</v>
      </c>
      <c r="B581" s="109">
        <v>11.080859</v>
      </c>
      <c r="C581" s="110">
        <v>16638.0</v>
      </c>
    </row>
    <row r="582">
      <c r="A582" s="108">
        <v>45106.0</v>
      </c>
      <c r="B582" s="109">
        <v>10.963601</v>
      </c>
      <c r="C582" s="110">
        <v>22373.0</v>
      </c>
    </row>
    <row r="583">
      <c r="A583" s="108">
        <v>45107.0</v>
      </c>
      <c r="B583" s="109">
        <v>10.846344</v>
      </c>
      <c r="C583" s="110">
        <v>25174.0</v>
      </c>
    </row>
    <row r="584">
      <c r="A584" s="108">
        <v>45110.0</v>
      </c>
      <c r="B584" s="109">
        <v>10.846344</v>
      </c>
      <c r="C584" s="110">
        <v>6515.0</v>
      </c>
    </row>
    <row r="585">
      <c r="A585" s="108">
        <v>45111.0</v>
      </c>
      <c r="B585" s="109">
        <v>10.846344</v>
      </c>
      <c r="C585" s="110">
        <v>7424.0</v>
      </c>
    </row>
    <row r="586">
      <c r="A586" s="108">
        <v>45112.0</v>
      </c>
      <c r="B586" s="109">
        <v>10.807258</v>
      </c>
      <c r="C586" s="110">
        <v>10158.0</v>
      </c>
    </row>
    <row r="587">
      <c r="A587" s="108">
        <v>45113.0</v>
      </c>
      <c r="B587" s="109">
        <v>10.611828</v>
      </c>
      <c r="C587" s="110">
        <v>18586.0</v>
      </c>
    </row>
    <row r="588">
      <c r="A588" s="108">
        <v>45114.0</v>
      </c>
      <c r="B588" s="109">
        <v>10.748629</v>
      </c>
      <c r="C588" s="110">
        <v>8298.0</v>
      </c>
    </row>
    <row r="589">
      <c r="A589" s="108">
        <v>45117.0</v>
      </c>
      <c r="B589" s="109">
        <v>10.807258</v>
      </c>
      <c r="C589" s="110">
        <v>9557.0</v>
      </c>
    </row>
    <row r="590">
      <c r="A590" s="108">
        <v>45118.0</v>
      </c>
      <c r="B590" s="109">
        <v>10.8268</v>
      </c>
      <c r="C590" s="110">
        <v>35745.0</v>
      </c>
    </row>
    <row r="591">
      <c r="A591" s="108">
        <v>45119.0</v>
      </c>
      <c r="B591" s="109">
        <v>11.061316</v>
      </c>
      <c r="C591" s="110">
        <v>15146.0</v>
      </c>
    </row>
    <row r="592">
      <c r="A592" s="108">
        <v>45120.0</v>
      </c>
      <c r="B592" s="109">
        <v>11.041773</v>
      </c>
      <c r="C592" s="110">
        <v>8162.0</v>
      </c>
    </row>
    <row r="593">
      <c r="A593" s="108">
        <v>45121.0</v>
      </c>
      <c r="B593" s="109">
        <v>10.904972</v>
      </c>
      <c r="C593" s="110">
        <v>6160.0</v>
      </c>
    </row>
    <row r="594">
      <c r="A594" s="108">
        <v>45124.0</v>
      </c>
      <c r="B594" s="109">
        <v>10.729085</v>
      </c>
      <c r="C594" s="110">
        <v>18961.0</v>
      </c>
    </row>
    <row r="595">
      <c r="A595" s="108">
        <v>45125.0</v>
      </c>
      <c r="B595" s="109">
        <v>10.631371</v>
      </c>
      <c r="C595" s="110">
        <v>16034.0</v>
      </c>
    </row>
    <row r="596">
      <c r="A596" s="108">
        <v>45126.0</v>
      </c>
      <c r="B596" s="109">
        <v>10.670457</v>
      </c>
      <c r="C596" s="110">
        <v>11331.0</v>
      </c>
    </row>
    <row r="597">
      <c r="A597" s="108">
        <v>45127.0</v>
      </c>
      <c r="B597" s="109">
        <v>10.768172</v>
      </c>
      <c r="C597" s="110">
        <v>8326.0</v>
      </c>
    </row>
    <row r="598">
      <c r="A598" s="108">
        <v>45128.0</v>
      </c>
      <c r="B598" s="109">
        <v>10.670457</v>
      </c>
      <c r="C598" s="110">
        <v>12570.0</v>
      </c>
    </row>
    <row r="599">
      <c r="A599" s="108">
        <v>45131.0</v>
      </c>
      <c r="B599" s="109">
        <v>10.768172</v>
      </c>
      <c r="C599" s="110">
        <v>18069.0</v>
      </c>
    </row>
    <row r="600">
      <c r="A600" s="108">
        <v>45132.0</v>
      </c>
      <c r="B600" s="109">
        <v>10.650913</v>
      </c>
      <c r="C600" s="110">
        <v>9264.0</v>
      </c>
    </row>
    <row r="601">
      <c r="A601" s="108">
        <v>45133.0</v>
      </c>
      <c r="B601" s="109">
        <v>10.592285</v>
      </c>
      <c r="C601" s="110">
        <v>14897.0</v>
      </c>
    </row>
    <row r="602">
      <c r="A602" s="108">
        <v>45134.0</v>
      </c>
      <c r="B602" s="109">
        <v>10.631371</v>
      </c>
      <c r="C602" s="110">
        <v>30570.0</v>
      </c>
    </row>
    <row r="603">
      <c r="A603" s="108">
        <v>45135.0</v>
      </c>
      <c r="B603" s="109">
        <v>10.670457</v>
      </c>
      <c r="C603" s="110">
        <v>35839.0</v>
      </c>
    </row>
    <row r="604">
      <c r="A604" s="108">
        <v>45138.0</v>
      </c>
      <c r="B604" s="109">
        <v>10.572742</v>
      </c>
      <c r="C604" s="110">
        <v>28206.0</v>
      </c>
    </row>
    <row r="605">
      <c r="A605" s="108">
        <v>45139.0</v>
      </c>
      <c r="B605" s="109">
        <v>10.533656</v>
      </c>
      <c r="C605" s="110">
        <v>17102.0</v>
      </c>
    </row>
    <row r="606">
      <c r="A606" s="108">
        <v>45140.0</v>
      </c>
      <c r="B606" s="109">
        <v>10.377313</v>
      </c>
      <c r="C606" s="110">
        <v>28336.0</v>
      </c>
    </row>
    <row r="607">
      <c r="A607" s="108">
        <v>45141.0</v>
      </c>
      <c r="B607" s="109">
        <v>10.377313</v>
      </c>
      <c r="C607" s="110">
        <v>31887.0</v>
      </c>
    </row>
    <row r="608">
      <c r="A608" s="108">
        <v>45142.0</v>
      </c>
      <c r="B608" s="109">
        <v>10.318684</v>
      </c>
      <c r="C608" s="110">
        <v>17480.0</v>
      </c>
    </row>
    <row r="609">
      <c r="A609" s="108">
        <v>45145.0</v>
      </c>
      <c r="B609" s="109">
        <v>10.983144</v>
      </c>
      <c r="C609" s="110">
        <v>62841.0</v>
      </c>
    </row>
    <row r="610">
      <c r="A610" s="108">
        <v>45146.0</v>
      </c>
      <c r="B610" s="109">
        <v>11.315374</v>
      </c>
      <c r="C610" s="110">
        <v>71963.0</v>
      </c>
    </row>
    <row r="611">
      <c r="A611" s="108">
        <v>45147.0</v>
      </c>
      <c r="B611" s="109">
        <v>11.198116</v>
      </c>
      <c r="C611" s="110">
        <v>33011.0</v>
      </c>
    </row>
    <row r="612">
      <c r="A612" s="108">
        <v>45148.0</v>
      </c>
      <c r="B612" s="109">
        <v>11.100402</v>
      </c>
      <c r="C612" s="110">
        <v>12999.0</v>
      </c>
    </row>
    <row r="613">
      <c r="A613" s="108">
        <v>45149.0</v>
      </c>
      <c r="B613" s="109">
        <v>11.139487</v>
      </c>
      <c r="C613" s="110">
        <v>13816.0</v>
      </c>
    </row>
    <row r="614">
      <c r="A614" s="108">
        <v>45152.0</v>
      </c>
      <c r="B614" s="109">
        <v>10.904972</v>
      </c>
      <c r="C614" s="110">
        <v>36120.0</v>
      </c>
    </row>
    <row r="615">
      <c r="A615" s="108">
        <v>45153.0</v>
      </c>
      <c r="B615" s="109">
        <v>10.885429</v>
      </c>
      <c r="C615" s="110">
        <v>17493.0</v>
      </c>
    </row>
    <row r="616">
      <c r="A616" s="108">
        <v>45154.0</v>
      </c>
      <c r="B616" s="109">
        <v>11.119945</v>
      </c>
      <c r="C616" s="110">
        <v>18082.0</v>
      </c>
    </row>
    <row r="617">
      <c r="A617" s="108">
        <v>45155.0</v>
      </c>
      <c r="B617" s="109">
        <v>10.904972</v>
      </c>
      <c r="C617" s="110">
        <v>11157.0</v>
      </c>
    </row>
    <row r="618">
      <c r="A618" s="108">
        <v>45156.0</v>
      </c>
      <c r="B618" s="109">
        <v>10.807258</v>
      </c>
      <c r="C618" s="110">
        <v>16521.0</v>
      </c>
    </row>
    <row r="619">
      <c r="A619" s="108">
        <v>45159.0</v>
      </c>
      <c r="B619" s="109">
        <v>10.670457</v>
      </c>
      <c r="C619" s="110">
        <v>11559.0</v>
      </c>
    </row>
    <row r="620">
      <c r="A620" s="108">
        <v>45160.0</v>
      </c>
      <c r="B620" s="109">
        <v>10.572742</v>
      </c>
      <c r="C620" s="110">
        <v>7457.0</v>
      </c>
    </row>
    <row r="621">
      <c r="A621" s="108">
        <v>45161.0</v>
      </c>
      <c r="B621" s="109">
        <v>10.611828</v>
      </c>
      <c r="C621" s="110">
        <v>11867.0</v>
      </c>
    </row>
    <row r="622">
      <c r="A622" s="108">
        <v>45162.0</v>
      </c>
      <c r="B622" s="109">
        <v>10.748629</v>
      </c>
      <c r="C622" s="110">
        <v>8270.0</v>
      </c>
    </row>
    <row r="623">
      <c r="A623" s="108">
        <v>45163.0</v>
      </c>
      <c r="B623" s="109">
        <v>10.8268</v>
      </c>
      <c r="C623" s="110">
        <v>13184.0</v>
      </c>
    </row>
    <row r="624">
      <c r="A624" s="108">
        <v>45166.0</v>
      </c>
      <c r="B624" s="109">
        <v>10.846344</v>
      </c>
      <c r="C624" s="110">
        <v>11488.0</v>
      </c>
    </row>
    <row r="625">
      <c r="A625" s="108">
        <v>45167.0</v>
      </c>
      <c r="B625" s="109">
        <v>10.846344</v>
      </c>
      <c r="C625" s="110">
        <v>6465.0</v>
      </c>
    </row>
    <row r="626">
      <c r="A626" s="108">
        <v>45168.0</v>
      </c>
      <c r="B626" s="109">
        <v>10.768172</v>
      </c>
      <c r="C626" s="110">
        <v>9225.0</v>
      </c>
    </row>
    <row r="627">
      <c r="A627" s="108">
        <v>45169.0</v>
      </c>
      <c r="B627" s="109">
        <v>10.748629</v>
      </c>
      <c r="C627" s="110">
        <v>8268.0</v>
      </c>
    </row>
    <row r="628">
      <c r="A628" s="108">
        <v>45170.0</v>
      </c>
      <c r="B628" s="109">
        <v>10.748629</v>
      </c>
      <c r="C628" s="110">
        <v>6755.0</v>
      </c>
    </row>
    <row r="629">
      <c r="A629" s="108">
        <v>45173.0</v>
      </c>
      <c r="B629" s="109">
        <v>10.69</v>
      </c>
      <c r="C629" s="110">
        <v>14155.0</v>
      </c>
    </row>
    <row r="630">
      <c r="A630" s="108">
        <v>45174.0</v>
      </c>
      <c r="B630" s="109">
        <v>10.69</v>
      </c>
      <c r="C630" s="110">
        <v>8836.0</v>
      </c>
    </row>
    <row r="631">
      <c r="A631" s="108">
        <v>45175.0</v>
      </c>
      <c r="B631" s="109">
        <v>10.514113</v>
      </c>
      <c r="C631" s="110">
        <v>12866.0</v>
      </c>
    </row>
    <row r="632">
      <c r="A632" s="108">
        <v>45176.0</v>
      </c>
      <c r="B632" s="109">
        <v>10.49457</v>
      </c>
      <c r="C632" s="110">
        <v>18425.0</v>
      </c>
    </row>
    <row r="633">
      <c r="A633" s="108">
        <v>45177.0</v>
      </c>
      <c r="B633" s="109">
        <v>10.475027</v>
      </c>
      <c r="C633" s="110">
        <v>6239.0</v>
      </c>
    </row>
    <row r="634">
      <c r="A634" s="108">
        <v>45180.0</v>
      </c>
      <c r="B634" s="109">
        <v>10.435942</v>
      </c>
      <c r="C634" s="110">
        <v>5496.0</v>
      </c>
    </row>
    <row r="635">
      <c r="A635" s="108">
        <v>45181.0</v>
      </c>
      <c r="B635" s="109">
        <v>10.455484</v>
      </c>
      <c r="C635" s="110">
        <v>11754.0</v>
      </c>
    </row>
    <row r="636">
      <c r="A636" s="108">
        <v>45182.0</v>
      </c>
      <c r="B636" s="109">
        <v>10.416398</v>
      </c>
      <c r="C636" s="110">
        <v>7895.0</v>
      </c>
    </row>
    <row r="637">
      <c r="A637" s="108">
        <v>45183.0</v>
      </c>
      <c r="B637" s="109">
        <v>10.49457</v>
      </c>
      <c r="C637" s="110">
        <v>7200.0</v>
      </c>
    </row>
    <row r="638">
      <c r="A638" s="108">
        <v>45184.0</v>
      </c>
      <c r="B638" s="109">
        <v>10.631371</v>
      </c>
      <c r="C638" s="110">
        <v>9510.0</v>
      </c>
    </row>
    <row r="639">
      <c r="A639" s="108">
        <v>45187.0</v>
      </c>
      <c r="B639" s="109">
        <v>10.416398</v>
      </c>
      <c r="C639" s="110">
        <v>7090.0</v>
      </c>
    </row>
    <row r="640">
      <c r="A640" s="108">
        <v>45188.0</v>
      </c>
      <c r="B640" s="109">
        <v>10.35777</v>
      </c>
      <c r="C640" s="110">
        <v>3780.0</v>
      </c>
    </row>
    <row r="641">
      <c r="A641" s="108">
        <v>45189.0</v>
      </c>
      <c r="B641" s="109">
        <v>10.475027</v>
      </c>
      <c r="C641" s="110">
        <v>21520.0</v>
      </c>
    </row>
    <row r="642">
      <c r="A642" s="108">
        <v>45190.0</v>
      </c>
      <c r="B642" s="109">
        <v>10.35777</v>
      </c>
      <c r="C642" s="110">
        <v>5430.0</v>
      </c>
    </row>
    <row r="643">
      <c r="A643" s="108">
        <v>45191.0</v>
      </c>
      <c r="B643" s="109">
        <v>10.299141</v>
      </c>
      <c r="C643" s="110">
        <v>8918.0</v>
      </c>
    </row>
    <row r="644">
      <c r="A644" s="108">
        <v>45194.0</v>
      </c>
      <c r="B644" s="109">
        <v>10.299141</v>
      </c>
      <c r="C644" s="110">
        <v>13960.0</v>
      </c>
    </row>
    <row r="645">
      <c r="A645" s="108">
        <v>45195.0</v>
      </c>
      <c r="B645" s="109">
        <v>10.220968</v>
      </c>
      <c r="C645" s="110">
        <v>47489.0</v>
      </c>
    </row>
    <row r="646">
      <c r="A646" s="108">
        <v>45196.0</v>
      </c>
      <c r="B646" s="109">
        <v>10.123254</v>
      </c>
      <c r="C646" s="110">
        <v>8257.0</v>
      </c>
    </row>
    <row r="647">
      <c r="A647" s="108">
        <v>45197.0</v>
      </c>
      <c r="B647" s="109">
        <v>10.220968</v>
      </c>
      <c r="C647" s="110">
        <v>25025.0</v>
      </c>
    </row>
    <row r="648">
      <c r="A648" s="108">
        <v>45198.0</v>
      </c>
      <c r="B648" s="109">
        <v>10.318684</v>
      </c>
      <c r="C648" s="110">
        <v>14812.0</v>
      </c>
    </row>
    <row r="649">
      <c r="A649" s="108">
        <v>45201.0</v>
      </c>
      <c r="B649" s="109">
        <v>11.217659</v>
      </c>
      <c r="C649" s="110">
        <v>57529.0</v>
      </c>
    </row>
    <row r="650">
      <c r="A650" s="108">
        <v>45202.0</v>
      </c>
      <c r="B650" s="109">
        <v>10.807258</v>
      </c>
      <c r="C650" s="110">
        <v>24602.0</v>
      </c>
    </row>
    <row r="651">
      <c r="A651" s="108">
        <v>45203.0</v>
      </c>
      <c r="B651" s="109">
        <v>10.748629</v>
      </c>
      <c r="C651" s="110">
        <v>17535.0</v>
      </c>
    </row>
    <row r="652">
      <c r="A652" s="108">
        <v>45204.0</v>
      </c>
      <c r="B652" s="109">
        <v>10.514113</v>
      </c>
      <c r="C652" s="110">
        <v>5241.0</v>
      </c>
    </row>
    <row r="653">
      <c r="A653" s="108">
        <v>45205.0</v>
      </c>
      <c r="B653" s="109">
        <v>10.181883</v>
      </c>
      <c r="C653" s="110">
        <v>14231.0</v>
      </c>
    </row>
    <row r="654">
      <c r="A654" s="108">
        <v>45208.0</v>
      </c>
      <c r="B654" s="109">
        <v>10.240511</v>
      </c>
      <c r="C654" s="110">
        <v>14094.0</v>
      </c>
    </row>
    <row r="655">
      <c r="A655" s="108">
        <v>45209.0</v>
      </c>
      <c r="B655" s="109">
        <v>10.416398</v>
      </c>
      <c r="C655" s="110">
        <v>20864.0</v>
      </c>
    </row>
    <row r="656">
      <c r="A656" s="108">
        <v>45210.0</v>
      </c>
      <c r="B656" s="109">
        <v>10.49457</v>
      </c>
      <c r="C656" s="110">
        <v>17012.0</v>
      </c>
    </row>
    <row r="657">
      <c r="A657" s="108">
        <v>45211.0</v>
      </c>
      <c r="B657" s="109">
        <v>10.514113</v>
      </c>
      <c r="C657" s="110">
        <v>12968.0</v>
      </c>
    </row>
    <row r="658">
      <c r="A658" s="108">
        <v>45212.0</v>
      </c>
      <c r="B658" s="109">
        <v>10.553199</v>
      </c>
      <c r="C658" s="110">
        <v>11747.0</v>
      </c>
    </row>
    <row r="659">
      <c r="A659" s="108">
        <v>45215.0</v>
      </c>
      <c r="B659" s="109">
        <v>10.787715</v>
      </c>
      <c r="C659" s="110">
        <v>15084.0</v>
      </c>
    </row>
    <row r="660">
      <c r="A660" s="108">
        <v>45216.0</v>
      </c>
      <c r="B660" s="109">
        <v>10.631371</v>
      </c>
      <c r="C660" s="110">
        <v>9060.0</v>
      </c>
    </row>
    <row r="661">
      <c r="A661" s="108">
        <v>45217.0</v>
      </c>
      <c r="B661" s="109">
        <v>10.670457</v>
      </c>
      <c r="C661" s="110">
        <v>5211.0</v>
      </c>
    </row>
    <row r="662">
      <c r="A662" s="108">
        <v>45218.0</v>
      </c>
      <c r="B662" s="109">
        <v>10.69</v>
      </c>
      <c r="C662" s="110">
        <v>9504.0</v>
      </c>
    </row>
    <row r="663">
      <c r="A663" s="108">
        <v>45219.0</v>
      </c>
      <c r="B663" s="109">
        <v>10.35777</v>
      </c>
      <c r="C663" s="110">
        <v>10736.0</v>
      </c>
    </row>
    <row r="664">
      <c r="A664" s="108">
        <v>45222.0</v>
      </c>
      <c r="B664" s="109">
        <v>10.260055</v>
      </c>
      <c r="C664" s="110">
        <v>11798.0</v>
      </c>
    </row>
    <row r="665">
      <c r="A665" s="108">
        <v>45223.0</v>
      </c>
      <c r="B665" s="109">
        <v>9.888739</v>
      </c>
      <c r="C665" s="110">
        <v>15206.0</v>
      </c>
    </row>
    <row r="666">
      <c r="A666" s="108">
        <v>45224.0</v>
      </c>
      <c r="B666" s="109">
        <v>9.63468</v>
      </c>
      <c r="C666" s="110">
        <v>25013.0</v>
      </c>
    </row>
    <row r="667">
      <c r="A667" s="108">
        <v>45225.0</v>
      </c>
      <c r="B667" s="109">
        <v>9.732394</v>
      </c>
      <c r="C667" s="110">
        <v>12629.0</v>
      </c>
    </row>
    <row r="668">
      <c r="A668" s="108">
        <v>45226.0</v>
      </c>
      <c r="B668" s="109">
        <v>9.869196</v>
      </c>
      <c r="C668" s="110">
        <v>19949.0</v>
      </c>
    </row>
    <row r="669">
      <c r="A669" s="108">
        <v>45229.0</v>
      </c>
      <c r="B669" s="109">
        <v>9.908281</v>
      </c>
      <c r="C669" s="110">
        <v>11623.0</v>
      </c>
    </row>
    <row r="670">
      <c r="A670" s="108">
        <v>45230.0</v>
      </c>
      <c r="B670" s="109">
        <v>9.771481</v>
      </c>
      <c r="C670" s="110">
        <v>18260.0</v>
      </c>
    </row>
    <row r="671">
      <c r="A671" s="108">
        <v>45231.0</v>
      </c>
      <c r="B671" s="109">
        <v>9.869196</v>
      </c>
      <c r="C671" s="110">
        <v>8061.0</v>
      </c>
    </row>
    <row r="672">
      <c r="A672" s="108">
        <v>45232.0</v>
      </c>
      <c r="B672" s="109">
        <v>10.025539</v>
      </c>
      <c r="C672" s="110">
        <v>37749.0</v>
      </c>
    </row>
    <row r="673">
      <c r="A673" s="108">
        <v>45233.0</v>
      </c>
      <c r="B673" s="109">
        <v>10.045082</v>
      </c>
      <c r="C673" s="110">
        <v>26146.0</v>
      </c>
    </row>
    <row r="674">
      <c r="A674" s="108">
        <v>45236.0</v>
      </c>
      <c r="B674" s="109">
        <v>9.986453</v>
      </c>
      <c r="C674" s="110">
        <v>13741.0</v>
      </c>
    </row>
    <row r="675">
      <c r="A675" s="108">
        <v>45237.0</v>
      </c>
      <c r="B675" s="109">
        <v>9.732394</v>
      </c>
      <c r="C675" s="110">
        <v>14477.0</v>
      </c>
    </row>
    <row r="676">
      <c r="A676" s="108">
        <v>45238.0</v>
      </c>
      <c r="B676" s="109">
        <v>9.849652</v>
      </c>
      <c r="C676" s="110">
        <v>47292.0</v>
      </c>
    </row>
    <row r="677">
      <c r="A677" s="108">
        <v>45239.0</v>
      </c>
      <c r="B677" s="109">
        <v>9.96691</v>
      </c>
      <c r="C677" s="110">
        <v>9168.0</v>
      </c>
    </row>
    <row r="678">
      <c r="A678" s="108">
        <v>45240.0</v>
      </c>
      <c r="B678" s="109">
        <v>10.103711</v>
      </c>
      <c r="C678" s="110">
        <v>16556.0</v>
      </c>
    </row>
    <row r="679">
      <c r="A679" s="108">
        <v>45243.0</v>
      </c>
      <c r="B679" s="109">
        <v>10.220968</v>
      </c>
      <c r="C679" s="110">
        <v>10608.0</v>
      </c>
    </row>
    <row r="680">
      <c r="A680" s="108">
        <v>45244.0</v>
      </c>
      <c r="B680" s="109">
        <v>10.709542</v>
      </c>
      <c r="C680" s="110">
        <v>28422.0</v>
      </c>
    </row>
    <row r="681">
      <c r="A681" s="108">
        <v>45245.0</v>
      </c>
      <c r="B681" s="109">
        <v>10.435942</v>
      </c>
      <c r="C681" s="110">
        <v>14483.0</v>
      </c>
    </row>
    <row r="682">
      <c r="A682" s="108">
        <v>45246.0</v>
      </c>
      <c r="B682" s="109">
        <v>10.377313</v>
      </c>
      <c r="C682" s="110">
        <v>12212.0</v>
      </c>
    </row>
    <row r="683">
      <c r="A683" s="108">
        <v>45247.0</v>
      </c>
      <c r="B683" s="109">
        <v>10.631371</v>
      </c>
      <c r="C683" s="110">
        <v>16928.0</v>
      </c>
    </row>
    <row r="684">
      <c r="A684" s="108">
        <v>45250.0</v>
      </c>
      <c r="B684" s="109">
        <v>10.553199</v>
      </c>
      <c r="C684" s="110">
        <v>13927.0</v>
      </c>
    </row>
    <row r="685">
      <c r="A685" s="108">
        <v>45251.0</v>
      </c>
      <c r="B685" s="109">
        <v>10.533656</v>
      </c>
      <c r="C685" s="110">
        <v>8688.0</v>
      </c>
    </row>
    <row r="686">
      <c r="A686" s="108">
        <v>45252.0</v>
      </c>
      <c r="B686" s="109">
        <v>10.435942</v>
      </c>
      <c r="C686" s="110">
        <v>5710.0</v>
      </c>
    </row>
    <row r="687">
      <c r="A687" s="108">
        <v>45253.0</v>
      </c>
      <c r="B687" s="109">
        <v>10.435942</v>
      </c>
      <c r="C687" s="110">
        <v>32087.0</v>
      </c>
    </row>
    <row r="688">
      <c r="A688" s="108">
        <v>45254.0</v>
      </c>
      <c r="B688" s="109">
        <v>10.455484</v>
      </c>
      <c r="C688" s="110">
        <v>7064.0</v>
      </c>
    </row>
    <row r="689">
      <c r="A689" s="108">
        <v>45257.0</v>
      </c>
      <c r="B689" s="109">
        <v>10.162339</v>
      </c>
      <c r="C689" s="110">
        <v>8202.0</v>
      </c>
    </row>
    <row r="690">
      <c r="A690" s="108">
        <v>45258.0</v>
      </c>
      <c r="B690" s="109">
        <v>10.279598</v>
      </c>
      <c r="C690" s="110">
        <v>14800.0</v>
      </c>
    </row>
    <row r="691">
      <c r="A691" s="108">
        <v>45259.0</v>
      </c>
      <c r="B691" s="109">
        <v>10.260055</v>
      </c>
      <c r="C691" s="110">
        <v>5678.0</v>
      </c>
    </row>
    <row r="692">
      <c r="A692" s="108">
        <v>45260.0</v>
      </c>
      <c r="B692" s="109">
        <v>10.260055</v>
      </c>
      <c r="C692" s="110">
        <v>13136.0</v>
      </c>
    </row>
    <row r="693">
      <c r="A693" s="108">
        <v>45261.0</v>
      </c>
      <c r="B693" s="109">
        <v>10.396855</v>
      </c>
      <c r="C693" s="110">
        <v>4226.0</v>
      </c>
    </row>
    <row r="694">
      <c r="A694" s="108">
        <v>45264.0</v>
      </c>
      <c r="B694" s="109">
        <v>10.181883</v>
      </c>
      <c r="C694" s="110">
        <v>19806.0</v>
      </c>
    </row>
    <row r="695">
      <c r="A695" s="108">
        <v>45265.0</v>
      </c>
      <c r="B695" s="109">
        <v>10.220968</v>
      </c>
      <c r="C695" s="110">
        <v>6852.0</v>
      </c>
    </row>
    <row r="696">
      <c r="A696" s="108">
        <v>45266.0</v>
      </c>
      <c r="B696" s="109">
        <v>10.318684</v>
      </c>
      <c r="C696" s="110">
        <v>7949.0</v>
      </c>
    </row>
    <row r="697">
      <c r="A697" s="108">
        <v>45267.0</v>
      </c>
      <c r="B697" s="109">
        <v>10.240511</v>
      </c>
      <c r="C697" s="110">
        <v>6357.0</v>
      </c>
    </row>
    <row r="698">
      <c r="A698" s="108">
        <v>45268.0</v>
      </c>
      <c r="B698" s="109">
        <v>10.338226</v>
      </c>
      <c r="C698" s="110">
        <v>10909.0</v>
      </c>
    </row>
    <row r="699">
      <c r="A699" s="108">
        <v>45271.0</v>
      </c>
      <c r="B699" s="109">
        <v>10.318684</v>
      </c>
      <c r="C699" s="110">
        <v>6944.0</v>
      </c>
    </row>
    <row r="700">
      <c r="A700" s="108">
        <v>45272.0</v>
      </c>
      <c r="B700" s="109">
        <v>10.084167</v>
      </c>
      <c r="C700" s="110">
        <v>16622.0</v>
      </c>
    </row>
    <row r="701">
      <c r="A701" s="108">
        <v>45273.0</v>
      </c>
      <c r="B701" s="109">
        <v>10.064625</v>
      </c>
      <c r="C701" s="110">
        <v>11485.0</v>
      </c>
    </row>
    <row r="702">
      <c r="A702" s="108">
        <v>45274.0</v>
      </c>
      <c r="B702" s="109">
        <v>10.396855</v>
      </c>
      <c r="C702" s="110">
        <v>15625.0</v>
      </c>
    </row>
    <row r="703">
      <c r="A703" s="108">
        <v>45275.0</v>
      </c>
      <c r="B703" s="109">
        <v>10.475027</v>
      </c>
      <c r="C703" s="110">
        <v>19297.0</v>
      </c>
    </row>
    <row r="704">
      <c r="A704" s="108">
        <v>45278.0</v>
      </c>
      <c r="B704" s="109">
        <v>10.377313</v>
      </c>
      <c r="C704" s="110">
        <v>11531.0</v>
      </c>
    </row>
    <row r="705">
      <c r="A705" s="108">
        <v>45279.0</v>
      </c>
      <c r="B705" s="109">
        <v>10.455484</v>
      </c>
      <c r="C705" s="110">
        <v>9268.0</v>
      </c>
    </row>
    <row r="706">
      <c r="A706" s="108">
        <v>45280.0</v>
      </c>
      <c r="B706" s="109">
        <v>10.553199</v>
      </c>
      <c r="C706" s="110">
        <v>10808.0</v>
      </c>
    </row>
    <row r="707">
      <c r="A707" s="108">
        <v>45281.0</v>
      </c>
      <c r="B707" s="109">
        <v>10.455484</v>
      </c>
      <c r="C707" s="110">
        <v>17632.0</v>
      </c>
    </row>
    <row r="708">
      <c r="A708" s="108">
        <v>45282.0</v>
      </c>
      <c r="B708" s="109">
        <v>10.709542</v>
      </c>
      <c r="C708" s="110">
        <v>23255.0</v>
      </c>
    </row>
    <row r="709">
      <c r="A709" s="108">
        <v>45287.0</v>
      </c>
      <c r="B709" s="109">
        <v>10.709542</v>
      </c>
      <c r="C709" s="110">
        <v>17647.0</v>
      </c>
    </row>
    <row r="710">
      <c r="A710" s="108">
        <v>45288.0</v>
      </c>
      <c r="B710" s="109">
        <v>10.69</v>
      </c>
      <c r="C710" s="110">
        <v>10109.0</v>
      </c>
    </row>
    <row r="711">
      <c r="A711" s="108">
        <v>45289.0</v>
      </c>
      <c r="B711" s="109">
        <v>10.69</v>
      </c>
      <c r="C711" s="110">
        <v>14480.0</v>
      </c>
    </row>
    <row r="712">
      <c r="A712" s="108">
        <v>45293.0</v>
      </c>
      <c r="B712" s="109">
        <v>10.92</v>
      </c>
      <c r="C712" s="110">
        <v>20442.0</v>
      </c>
    </row>
    <row r="713">
      <c r="A713" s="108">
        <v>45294.0</v>
      </c>
      <c r="B713" s="109">
        <v>10.8</v>
      </c>
      <c r="C713" s="110">
        <v>16780.0</v>
      </c>
    </row>
    <row r="714">
      <c r="A714" s="108">
        <v>45295.0</v>
      </c>
      <c r="B714" s="109">
        <v>10.88</v>
      </c>
      <c r="C714" s="110">
        <v>5325.0</v>
      </c>
    </row>
    <row r="715">
      <c r="A715" s="108">
        <v>45296.0</v>
      </c>
      <c r="B715" s="109">
        <v>10.82</v>
      </c>
      <c r="C715" s="110">
        <v>9226.0</v>
      </c>
    </row>
    <row r="716">
      <c r="A716" s="108">
        <v>45299.0</v>
      </c>
      <c r="B716" s="109">
        <v>10.84</v>
      </c>
      <c r="C716" s="110">
        <v>4515.0</v>
      </c>
    </row>
    <row r="717">
      <c r="A717" s="108">
        <v>45300.0</v>
      </c>
      <c r="B717" s="109">
        <v>10.8</v>
      </c>
      <c r="C717" s="110">
        <v>12970.0</v>
      </c>
    </row>
    <row r="718">
      <c r="A718" s="108">
        <v>45301.0</v>
      </c>
      <c r="B718" s="109">
        <v>10.64</v>
      </c>
      <c r="C718" s="110">
        <v>4977.0</v>
      </c>
    </row>
    <row r="719">
      <c r="A719" s="108">
        <v>45302.0</v>
      </c>
      <c r="B719" s="109">
        <v>10.48</v>
      </c>
      <c r="C719" s="110">
        <v>10208.0</v>
      </c>
    </row>
    <row r="720">
      <c r="A720" s="108">
        <v>45303.0</v>
      </c>
      <c r="B720" s="109">
        <v>10.58</v>
      </c>
      <c r="C720" s="110">
        <v>7234.0</v>
      </c>
    </row>
    <row r="721">
      <c r="A721" s="108">
        <v>45306.0</v>
      </c>
      <c r="B721" s="109">
        <v>10.42</v>
      </c>
      <c r="C721" s="110">
        <v>11413.0</v>
      </c>
    </row>
    <row r="722">
      <c r="A722" s="108">
        <v>45307.0</v>
      </c>
      <c r="B722" s="109">
        <v>10.4</v>
      </c>
      <c r="C722" s="110">
        <v>5552.0</v>
      </c>
    </row>
    <row r="723">
      <c r="A723" s="108">
        <v>45308.0</v>
      </c>
      <c r="B723" s="109">
        <v>10.56</v>
      </c>
      <c r="C723" s="110">
        <v>7717.0</v>
      </c>
    </row>
    <row r="724">
      <c r="A724" s="108">
        <v>45309.0</v>
      </c>
      <c r="B724" s="109">
        <v>10.42</v>
      </c>
      <c r="C724" s="110">
        <v>5445.0</v>
      </c>
    </row>
    <row r="725">
      <c r="A725" s="108">
        <v>45310.0</v>
      </c>
      <c r="B725" s="109">
        <v>10.56</v>
      </c>
      <c r="C725" s="110">
        <v>6072.0</v>
      </c>
    </row>
    <row r="726">
      <c r="A726" s="108">
        <v>45313.0</v>
      </c>
      <c r="B726" s="109">
        <v>10.34</v>
      </c>
      <c r="C726" s="110">
        <v>12778.0</v>
      </c>
    </row>
    <row r="727">
      <c r="A727" s="108">
        <v>45314.0</v>
      </c>
      <c r="B727" s="109">
        <v>10.22</v>
      </c>
      <c r="C727" s="110">
        <v>11114.0</v>
      </c>
    </row>
    <row r="728">
      <c r="A728" s="108">
        <v>45315.0</v>
      </c>
      <c r="B728" s="109">
        <v>10.04</v>
      </c>
      <c r="C728" s="110">
        <v>20560.0</v>
      </c>
    </row>
    <row r="729">
      <c r="A729" s="108">
        <v>45316.0</v>
      </c>
      <c r="B729" s="109">
        <v>10.06</v>
      </c>
      <c r="C729" s="110">
        <v>13185.0</v>
      </c>
    </row>
    <row r="730">
      <c r="A730" s="108">
        <v>45317.0</v>
      </c>
      <c r="B730" s="109">
        <v>10.08</v>
      </c>
      <c r="C730" s="110">
        <v>10303.0</v>
      </c>
    </row>
    <row r="731">
      <c r="A731" s="108">
        <v>45320.0</v>
      </c>
      <c r="B731" s="109">
        <v>10.06</v>
      </c>
      <c r="C731" s="110">
        <v>10969.0</v>
      </c>
    </row>
    <row r="732">
      <c r="A732" s="108">
        <v>45321.0</v>
      </c>
      <c r="B732" s="109">
        <v>9.87</v>
      </c>
      <c r="C732" s="110">
        <v>14380.0</v>
      </c>
    </row>
    <row r="733">
      <c r="A733" s="108">
        <v>45322.0</v>
      </c>
      <c r="B733" s="109">
        <v>9.85</v>
      </c>
      <c r="C733" s="110">
        <v>18044.0</v>
      </c>
    </row>
    <row r="734">
      <c r="A734" s="108">
        <v>45323.0</v>
      </c>
      <c r="B734" s="109">
        <v>9.91</v>
      </c>
      <c r="C734" s="110">
        <v>31967.0</v>
      </c>
    </row>
    <row r="735">
      <c r="A735" s="108">
        <v>45324.0</v>
      </c>
      <c r="B735" s="109">
        <v>9.74</v>
      </c>
      <c r="C735" s="110">
        <v>21844.0</v>
      </c>
    </row>
    <row r="736">
      <c r="A736" s="108">
        <v>45327.0</v>
      </c>
      <c r="B736" s="109">
        <v>9.39</v>
      </c>
      <c r="C736" s="110">
        <v>30187.0</v>
      </c>
    </row>
    <row r="737">
      <c r="A737" s="108">
        <v>45328.0</v>
      </c>
      <c r="B737" s="109">
        <v>9.35</v>
      </c>
      <c r="C737" s="110">
        <v>34635.0</v>
      </c>
    </row>
    <row r="738">
      <c r="A738" s="108">
        <v>45329.0</v>
      </c>
      <c r="B738" s="109">
        <v>9.3</v>
      </c>
      <c r="C738" s="110">
        <v>35426.0</v>
      </c>
    </row>
    <row r="739">
      <c r="A739" s="108">
        <v>45330.0</v>
      </c>
      <c r="B739" s="109">
        <v>9.26</v>
      </c>
      <c r="C739" s="110">
        <v>12480.0</v>
      </c>
    </row>
    <row r="740">
      <c r="A740" s="108">
        <v>45331.0</v>
      </c>
      <c r="B740" s="109">
        <v>9.34</v>
      </c>
      <c r="C740" s="110">
        <v>15224.0</v>
      </c>
    </row>
    <row r="741">
      <c r="A741" s="108">
        <v>45334.0</v>
      </c>
      <c r="B741" s="109">
        <v>9.39</v>
      </c>
      <c r="C741" s="110">
        <v>13408.0</v>
      </c>
    </row>
    <row r="742">
      <c r="A742" s="108">
        <v>45335.0</v>
      </c>
      <c r="B742" s="109">
        <v>9.86</v>
      </c>
      <c r="C742" s="110">
        <v>27699.0</v>
      </c>
    </row>
    <row r="743">
      <c r="A743" s="108">
        <v>45336.0</v>
      </c>
      <c r="B743" s="109">
        <v>9.93</v>
      </c>
      <c r="C743" s="110">
        <v>31118.0</v>
      </c>
    </row>
    <row r="744">
      <c r="A744" s="108">
        <v>45337.0</v>
      </c>
      <c r="B744" s="109">
        <v>9.85</v>
      </c>
      <c r="C744" s="110">
        <v>18318.0</v>
      </c>
    </row>
    <row r="745">
      <c r="A745" s="108">
        <v>45338.0</v>
      </c>
      <c r="B745" s="109">
        <v>9.72</v>
      </c>
      <c r="C745" s="110">
        <v>7852.0</v>
      </c>
    </row>
    <row r="746">
      <c r="A746" s="108">
        <v>45341.0</v>
      </c>
      <c r="B746" s="109">
        <v>9.69</v>
      </c>
      <c r="C746" s="110">
        <v>11261.0</v>
      </c>
    </row>
    <row r="747">
      <c r="A747" s="108">
        <v>45342.0</v>
      </c>
      <c r="B747" s="109">
        <v>9.84</v>
      </c>
      <c r="C747" s="110">
        <v>25912.0</v>
      </c>
    </row>
    <row r="748">
      <c r="A748" s="108">
        <v>45343.0</v>
      </c>
      <c r="B748" s="109">
        <v>9.94</v>
      </c>
      <c r="C748" s="110">
        <v>25809.0</v>
      </c>
    </row>
    <row r="749">
      <c r="A749" s="108">
        <v>45344.0</v>
      </c>
      <c r="B749" s="109">
        <v>9.7</v>
      </c>
      <c r="C749" s="110">
        <v>25297.0</v>
      </c>
    </row>
    <row r="750">
      <c r="A750" s="108">
        <v>45345.0</v>
      </c>
      <c r="B750" s="109">
        <v>9.75</v>
      </c>
      <c r="C750" s="110">
        <v>19371.0</v>
      </c>
    </row>
    <row r="751">
      <c r="A751" s="108">
        <v>45348.0</v>
      </c>
      <c r="B751" s="109">
        <v>9.77</v>
      </c>
      <c r="C751" s="110">
        <v>5356.0</v>
      </c>
    </row>
    <row r="752">
      <c r="A752" s="108">
        <v>45349.0</v>
      </c>
      <c r="B752" s="109">
        <v>9.95</v>
      </c>
      <c r="C752" s="110">
        <v>14148.0</v>
      </c>
    </row>
    <row r="753">
      <c r="A753" s="108">
        <v>45350.0</v>
      </c>
      <c r="B753" s="109">
        <v>9.94</v>
      </c>
      <c r="C753" s="110">
        <v>8889.0</v>
      </c>
    </row>
    <row r="754">
      <c r="A754" s="108">
        <v>45351.0</v>
      </c>
      <c r="B754" s="109">
        <v>9.9</v>
      </c>
      <c r="C754" s="110">
        <v>72839.0</v>
      </c>
    </row>
    <row r="755">
      <c r="A755" s="108">
        <v>45352.0</v>
      </c>
      <c r="B755" s="109">
        <v>9.35</v>
      </c>
      <c r="C755" s="110">
        <v>56676.0</v>
      </c>
    </row>
    <row r="756">
      <c r="A756" s="108">
        <v>45355.0</v>
      </c>
      <c r="B756" s="109">
        <v>8.85</v>
      </c>
      <c r="C756" s="110">
        <v>58818.0</v>
      </c>
    </row>
    <row r="757">
      <c r="A757" s="108">
        <v>45356.0</v>
      </c>
      <c r="B757" s="109">
        <v>8.42</v>
      </c>
      <c r="C757" s="110">
        <v>54840.0</v>
      </c>
    </row>
    <row r="758">
      <c r="A758" s="108">
        <v>45357.0</v>
      </c>
      <c r="B758" s="109">
        <v>8.24</v>
      </c>
      <c r="C758" s="110">
        <v>33664.0</v>
      </c>
    </row>
    <row r="759">
      <c r="A759" s="108">
        <v>45358.0</v>
      </c>
      <c r="B759" s="109">
        <v>8.26</v>
      </c>
      <c r="C759" s="110">
        <v>34640.0</v>
      </c>
    </row>
    <row r="760">
      <c r="A760" s="108">
        <v>45359.0</v>
      </c>
      <c r="B760" s="109">
        <v>8.19</v>
      </c>
      <c r="C760" s="110">
        <v>34589.0</v>
      </c>
    </row>
    <row r="761">
      <c r="A761" s="108">
        <v>45362.0</v>
      </c>
      <c r="B761" s="109">
        <v>7.9</v>
      </c>
      <c r="C761" s="110">
        <v>42555.0</v>
      </c>
    </row>
    <row r="762">
      <c r="A762" s="108">
        <v>45363.0</v>
      </c>
      <c r="B762" s="109">
        <v>7.83</v>
      </c>
      <c r="C762" s="110">
        <v>36603.0</v>
      </c>
    </row>
    <row r="763">
      <c r="A763" s="108">
        <v>45364.0</v>
      </c>
      <c r="B763" s="109">
        <v>7.99</v>
      </c>
      <c r="C763" s="110">
        <v>37519.0</v>
      </c>
    </row>
    <row r="764">
      <c r="A764" s="108">
        <v>45365.0</v>
      </c>
      <c r="B764" s="109">
        <v>7.85</v>
      </c>
      <c r="C764" s="110">
        <v>50213.0</v>
      </c>
    </row>
    <row r="765">
      <c r="A765" s="108">
        <v>45366.0</v>
      </c>
      <c r="B765" s="109">
        <v>7.93</v>
      </c>
      <c r="C765" s="110">
        <v>87652.0</v>
      </c>
    </row>
    <row r="766">
      <c r="A766" s="108">
        <v>45369.0</v>
      </c>
      <c r="B766" s="109">
        <v>7.85</v>
      </c>
      <c r="C766" s="110">
        <v>55323.0</v>
      </c>
    </row>
    <row r="767">
      <c r="A767" s="108">
        <v>45370.0</v>
      </c>
      <c r="B767" s="109">
        <v>7.71</v>
      </c>
      <c r="C767" s="110">
        <v>30289.0</v>
      </c>
    </row>
    <row r="768">
      <c r="A768" s="108">
        <v>45371.0</v>
      </c>
      <c r="B768" s="109">
        <v>7.79</v>
      </c>
      <c r="C768" s="110">
        <v>21073.0</v>
      </c>
    </row>
    <row r="769">
      <c r="A769" s="108">
        <v>45372.0</v>
      </c>
      <c r="B769" s="109">
        <v>7.69</v>
      </c>
      <c r="C769" s="110">
        <v>17832.0</v>
      </c>
    </row>
    <row r="770">
      <c r="A770" s="108">
        <v>45373.0</v>
      </c>
      <c r="B770" s="109">
        <v>7.51</v>
      </c>
      <c r="C770" s="110">
        <v>24109.0</v>
      </c>
    </row>
    <row r="771">
      <c r="A771" s="108">
        <v>45376.0</v>
      </c>
      <c r="B771" s="109">
        <v>7.47</v>
      </c>
      <c r="C771" s="110">
        <v>28257.0</v>
      </c>
    </row>
    <row r="772">
      <c r="A772" s="108">
        <v>45377.0</v>
      </c>
      <c r="B772" s="109">
        <v>7.45</v>
      </c>
      <c r="C772" s="110">
        <v>17673.0</v>
      </c>
    </row>
    <row r="773">
      <c r="A773" s="108">
        <v>45378.0</v>
      </c>
      <c r="B773" s="109">
        <v>7.59</v>
      </c>
      <c r="C773" s="110">
        <v>37069.0</v>
      </c>
    </row>
    <row r="774">
      <c r="A774" s="107"/>
      <c r="B774" s="107"/>
      <c r="C774" s="107"/>
    </row>
    <row r="775">
      <c r="A775" s="107"/>
      <c r="B775" s="107"/>
      <c r="C775" s="107"/>
    </row>
    <row r="776">
      <c r="A776" s="107"/>
      <c r="B776" s="107"/>
      <c r="C776" s="107"/>
    </row>
    <row r="777">
      <c r="A777" s="107"/>
      <c r="B777" s="107"/>
      <c r="C777" s="107"/>
    </row>
    <row r="778">
      <c r="A778" s="107"/>
      <c r="B778" s="107"/>
      <c r="C778" s="107"/>
    </row>
    <row r="779">
      <c r="A779" s="107"/>
      <c r="B779" s="107"/>
      <c r="C779" s="107"/>
    </row>
    <row r="780">
      <c r="A780" s="107"/>
      <c r="B780" s="107"/>
      <c r="C780" s="107"/>
    </row>
    <row r="781">
      <c r="A781" s="107"/>
      <c r="B781" s="107"/>
      <c r="C781" s="107"/>
    </row>
    <row r="782">
      <c r="A782" s="107"/>
      <c r="B782" s="107"/>
      <c r="C782" s="107"/>
    </row>
    <row r="783">
      <c r="A783" s="107"/>
      <c r="B783" s="107"/>
      <c r="C783" s="107"/>
    </row>
    <row r="784">
      <c r="A784" s="107"/>
      <c r="B784" s="107"/>
      <c r="C784" s="107"/>
    </row>
    <row r="785">
      <c r="A785" s="107"/>
      <c r="B785" s="107"/>
      <c r="C785" s="107"/>
    </row>
    <row r="786">
      <c r="A786" s="107"/>
      <c r="B786" s="107"/>
      <c r="C786" s="107"/>
    </row>
    <row r="787">
      <c r="A787" s="107"/>
      <c r="B787" s="107"/>
      <c r="C787" s="107"/>
    </row>
    <row r="788">
      <c r="A788" s="107"/>
      <c r="B788" s="107"/>
      <c r="C788" s="107"/>
    </row>
    <row r="789">
      <c r="A789" s="107"/>
      <c r="B789" s="107"/>
      <c r="C789" s="107"/>
    </row>
    <row r="790">
      <c r="A790" s="107"/>
      <c r="B790" s="107"/>
      <c r="C790" s="107"/>
    </row>
    <row r="791">
      <c r="A791" s="107"/>
      <c r="B791" s="107"/>
      <c r="C791" s="107"/>
    </row>
    <row r="792">
      <c r="A792" s="107"/>
      <c r="B792" s="107"/>
      <c r="C792" s="107"/>
    </row>
    <row r="793">
      <c r="A793" s="107"/>
      <c r="B793" s="107"/>
      <c r="C793" s="107"/>
    </row>
    <row r="794">
      <c r="A794" s="107"/>
      <c r="B794" s="107"/>
      <c r="C794" s="107"/>
    </row>
    <row r="795">
      <c r="A795" s="107"/>
      <c r="B795" s="107"/>
      <c r="C795" s="107"/>
    </row>
    <row r="796">
      <c r="A796" s="107"/>
      <c r="B796" s="107"/>
      <c r="C796" s="107"/>
    </row>
    <row r="797">
      <c r="A797" s="107"/>
      <c r="B797" s="107"/>
      <c r="C797" s="107"/>
    </row>
    <row r="798">
      <c r="A798" s="107"/>
      <c r="B798" s="107"/>
      <c r="C798" s="107"/>
    </row>
    <row r="799">
      <c r="A799" s="107"/>
      <c r="B799" s="107"/>
      <c r="C799" s="107"/>
    </row>
    <row r="800">
      <c r="A800" s="107"/>
      <c r="B800" s="107"/>
      <c r="C800" s="107"/>
    </row>
    <row r="801">
      <c r="A801" s="107"/>
      <c r="B801" s="107"/>
      <c r="C801" s="107"/>
    </row>
    <row r="802">
      <c r="A802" s="107"/>
      <c r="B802" s="107"/>
      <c r="C802" s="107"/>
    </row>
    <row r="803">
      <c r="A803" s="107"/>
      <c r="B803" s="107"/>
      <c r="C803" s="107"/>
    </row>
    <row r="804">
      <c r="A804" s="107"/>
      <c r="B804" s="107"/>
      <c r="C804" s="107"/>
    </row>
    <row r="805">
      <c r="A805" s="107"/>
      <c r="B805" s="107"/>
      <c r="C805" s="107"/>
    </row>
    <row r="806">
      <c r="A806" s="107"/>
      <c r="B806" s="107"/>
      <c r="C806" s="107"/>
    </row>
    <row r="807">
      <c r="A807" s="107"/>
      <c r="B807" s="107"/>
      <c r="C807" s="107"/>
    </row>
    <row r="808">
      <c r="A808" s="107"/>
      <c r="B808" s="107"/>
      <c r="C808" s="107"/>
    </row>
    <row r="809">
      <c r="A809" s="107"/>
      <c r="B809" s="107"/>
      <c r="C809" s="107"/>
    </row>
    <row r="810">
      <c r="A810" s="107"/>
      <c r="B810" s="107"/>
      <c r="C810" s="107"/>
    </row>
    <row r="811">
      <c r="A811" s="107"/>
      <c r="B811" s="107"/>
      <c r="C811" s="107"/>
    </row>
    <row r="812">
      <c r="A812" s="107"/>
      <c r="B812" s="107"/>
      <c r="C812" s="107"/>
    </row>
    <row r="813">
      <c r="A813" s="107"/>
      <c r="B813" s="107"/>
      <c r="C813" s="107"/>
    </row>
  </sheetData>
  <drawing r:id="rId1"/>
</worksheet>
</file>