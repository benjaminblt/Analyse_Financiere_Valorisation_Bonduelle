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 1, 2" sheetId="1" r:id="rId4"/>
    <sheet state="visible" name="Ratios" sheetId="2" r:id="rId5"/>
    <sheet state="visible" name="Question 3 " sheetId="3" r:id="rId6"/>
    <sheet state="visible" name="Question 5 Bilan" sheetId="4" r:id="rId7"/>
    <sheet state="visible" name="Question 6 Cours Moyen" sheetId="5" r:id="rId8"/>
    <sheet state="visible" name="Question 6  Valeur de lentrepri" sheetId="6" r:id="rId9"/>
    <sheet state="visible" name="Question 7 Gordon Shapiro" sheetId="7" r:id="rId10"/>
    <sheet state="visible" name="Question 7 Feltham Olson" sheetId="8" r:id="rId11"/>
  </sheets>
  <definedNames/>
  <calcPr/>
</workbook>
</file>

<file path=xl/sharedStrings.xml><?xml version="1.0" encoding="utf-8"?>
<sst xmlns="http://schemas.openxmlformats.org/spreadsheetml/2006/main" count="219" uniqueCount="202">
  <si>
    <t>Variation 2021/2022</t>
  </si>
  <si>
    <t>Variation 2022/2023</t>
  </si>
  <si>
    <t>Fonds de roulement (FRNG)</t>
  </si>
  <si>
    <t> </t>
  </si>
  <si>
    <t>(+)Ressources stables (RS)</t>
  </si>
  <si>
    <t>(-) Emplois stables (ES)</t>
  </si>
  <si>
    <t>(= )  FRNG</t>
  </si>
  <si>
    <t>Besoin fonds de roulement (BFR)</t>
  </si>
  <si>
    <t>(+) Actif circulant (AC)</t>
  </si>
  <si>
    <t>(-) Passif circulant (PC)</t>
  </si>
  <si>
    <t>(= )  BFR</t>
  </si>
  <si>
    <t>Trésorerie nette (TN)</t>
  </si>
  <si>
    <t>(+) Fonds de roulement</t>
  </si>
  <si>
    <t>(-) BFR</t>
  </si>
  <si>
    <t>(= ) TN</t>
  </si>
  <si>
    <t>Capacité d'autofinancement</t>
  </si>
  <si>
    <t>(+) Résultat net de l'ensemble consolidé</t>
  </si>
  <si>
    <t>(+) Dotation aux amortissements</t>
  </si>
  <si>
    <t>Dotations/Reprises provisions pour risques et charges</t>
  </si>
  <si>
    <t>Dotations/Reprises provisions immobilisations financières et VMP</t>
  </si>
  <si>
    <t>Dotations/Reprises Provisions pour Impôt</t>
  </si>
  <si>
    <t>(= ) CAF</t>
  </si>
  <si>
    <t>Résultat net</t>
  </si>
  <si>
    <t>Les résultats sont en milliers d'euros (k€)</t>
  </si>
  <si>
    <t>Total actifs/Total passif (AE)</t>
  </si>
  <si>
    <t>Capitaux propres</t>
  </si>
  <si>
    <t>Chiffre d'affaires (HT)</t>
  </si>
  <si>
    <t>Chiffre d'affaires TTC (20%)</t>
  </si>
  <si>
    <t>Créances client</t>
  </si>
  <si>
    <t>Durée de l'exercice (jours)</t>
  </si>
  <si>
    <t>Stocks</t>
  </si>
  <si>
    <t>Achats consommés</t>
  </si>
  <si>
    <t>&lt;-----------------</t>
  </si>
  <si>
    <t>Les achats concernés sont calculés comme la somme des achats en stock et des achats consommés.</t>
  </si>
  <si>
    <t>Achats concernés</t>
  </si>
  <si>
    <t>Achats concernés (TTC)</t>
  </si>
  <si>
    <t>Dette fournisseurs</t>
  </si>
  <si>
    <t>Charges externes</t>
  </si>
  <si>
    <t>Charges externes (TTC)</t>
  </si>
  <si>
    <t>Dette</t>
  </si>
  <si>
    <t>Impôts et taxes</t>
  </si>
  <si>
    <t>Charges de personnels</t>
  </si>
  <si>
    <t>Résultat d'exploitation</t>
  </si>
  <si>
    <t>Emplois stables</t>
  </si>
  <si>
    <t>Dette financière</t>
  </si>
  <si>
    <t>Disponibilités</t>
  </si>
  <si>
    <t>Charges financières</t>
  </si>
  <si>
    <t>La marge brute</t>
  </si>
  <si>
    <t>Rentabilité économique (ROA)</t>
  </si>
  <si>
    <t>Rentabilité fiancière (ROE)</t>
  </si>
  <si>
    <t>Rentabilité d'exploitation (TMN)</t>
  </si>
  <si>
    <t>Délai client (en jour)</t>
  </si>
  <si>
    <t>Délai stocks (en jour)</t>
  </si>
  <si>
    <t>Délai fournisseurs (en jour)</t>
  </si>
  <si>
    <t>Valeur ajoutée (VA)</t>
  </si>
  <si>
    <t>VA/CA</t>
  </si>
  <si>
    <t>EBE</t>
  </si>
  <si>
    <t>Total de l'actif moyen</t>
  </si>
  <si>
    <t>Marge nette</t>
  </si>
  <si>
    <t>Rotation de l'actif</t>
  </si>
  <si>
    <t>Levier financier</t>
  </si>
  <si>
    <t>AE</t>
  </si>
  <si>
    <t>CMPC (WACC)</t>
  </si>
  <si>
    <t>RAE</t>
  </si>
  <si>
    <t>VAE</t>
  </si>
  <si>
    <t>Capitalisation boursière</t>
  </si>
  <si>
    <t>Valeur de marché de la dette</t>
  </si>
  <si>
    <t>MVA</t>
  </si>
  <si>
    <t>Ratios de solvabilité</t>
  </si>
  <si>
    <t xml:space="preserve">Actif circulant </t>
  </si>
  <si>
    <t>Passif circulant</t>
  </si>
  <si>
    <t>Taux de solvabilité</t>
  </si>
  <si>
    <t>Disponibilité</t>
  </si>
  <si>
    <t>Taux de liquidité réduite</t>
  </si>
  <si>
    <t>Delais client(+)</t>
  </si>
  <si>
    <t>Delais stocks(+)</t>
  </si>
  <si>
    <t>Delais fournisseur (-)</t>
  </si>
  <si>
    <t>Delais BFR (jours)</t>
  </si>
  <si>
    <t>Ratios d’autonomie</t>
  </si>
  <si>
    <t>Dette Financiere</t>
  </si>
  <si>
    <t>Taux d'endettement</t>
  </si>
  <si>
    <t xml:space="preserve">Charge financiere </t>
  </si>
  <si>
    <t>Poids des interets</t>
  </si>
  <si>
    <t>Dettes financieres</t>
  </si>
  <si>
    <t xml:space="preserve">Cout de la dette </t>
  </si>
  <si>
    <t>CAF</t>
  </si>
  <si>
    <t>Montant des investissements</t>
  </si>
  <si>
    <t>&lt;----------------  lu dans "Flux de trésorerie liés aux activités d’investissement"</t>
  </si>
  <si>
    <t xml:space="preserve">Capacité de remboursement </t>
  </si>
  <si>
    <t>Normes bancaires</t>
  </si>
  <si>
    <t>Montant des dettes</t>
  </si>
  <si>
    <t>Total passif</t>
  </si>
  <si>
    <t>Norme sur les dettes</t>
  </si>
  <si>
    <t>Norme sur la capacité de remboursement</t>
  </si>
  <si>
    <t xml:space="preserve">BILAN CONSOLIDE EN MILLIERS D'EUROS </t>
  </si>
  <si>
    <t>ACTIF</t>
  </si>
  <si>
    <t>PASSIF</t>
  </si>
  <si>
    <t>Emplois Stables</t>
  </si>
  <si>
    <t>Actif immobilisé</t>
  </si>
  <si>
    <t>Ressources Stables</t>
  </si>
  <si>
    <t>Immobilisations incorporelles :</t>
  </si>
  <si>
    <t>Capital</t>
  </si>
  <si>
    <t>Goodwill</t>
  </si>
  <si>
    <t>Primes</t>
  </si>
  <si>
    <t>Autres immobilisations incorporelles</t>
  </si>
  <si>
    <t>Réserves consolidées</t>
  </si>
  <si>
    <t>Immobilisations corporelles :</t>
  </si>
  <si>
    <t>Capitaux propres (Part du Groupe)</t>
  </si>
  <si>
    <t>Droits utilisation</t>
  </si>
  <si>
    <t>Titres mis en équivalence</t>
  </si>
  <si>
    <t>Patricipations ne donnant pas le contrôle</t>
  </si>
  <si>
    <t>Autres actifs financiers non courants</t>
  </si>
  <si>
    <t>Total I</t>
  </si>
  <si>
    <t>Autres actifs non courants</t>
  </si>
  <si>
    <t>Passif non courant</t>
  </si>
  <si>
    <t>Provisions</t>
  </si>
  <si>
    <t>Actifs d’impôts différés</t>
  </si>
  <si>
    <t>Engagements envers le personnel</t>
  </si>
  <si>
    <t>Dettes financières</t>
  </si>
  <si>
    <t>Passif d'impôts différés</t>
  </si>
  <si>
    <t>Dettes location</t>
  </si>
  <si>
    <t>Autres passifs non courants</t>
  </si>
  <si>
    <t>Actifs Circulants</t>
  </si>
  <si>
    <t>Actif Courant</t>
  </si>
  <si>
    <t>Total II</t>
  </si>
  <si>
    <t>Stocks et en cours :</t>
  </si>
  <si>
    <t>Passif Courant</t>
  </si>
  <si>
    <t>Passifs Circulants</t>
  </si>
  <si>
    <t>Dettes financières courantes</t>
  </si>
  <si>
    <t>Créances d'exploitation :</t>
  </si>
  <si>
    <t>Dettes de location courantes</t>
  </si>
  <si>
    <t>Clients et comptes rattachés</t>
  </si>
  <si>
    <t>Provisions courantes</t>
  </si>
  <si>
    <t>Autres</t>
  </si>
  <si>
    <t xml:space="preserve">Fournisseurs et autres créditeurs </t>
  </si>
  <si>
    <t>Créances diverses</t>
  </si>
  <si>
    <t>Dettes d'impot</t>
  </si>
  <si>
    <t>Autres passifs courants</t>
  </si>
  <si>
    <t>Actif d'impôt courant</t>
  </si>
  <si>
    <t>Total III</t>
  </si>
  <si>
    <t>Trésorerie</t>
  </si>
  <si>
    <t>Trésorerie et équivalents de trésorerie</t>
  </si>
  <si>
    <t>Actifs classés comme détenus en vue de la vente</t>
  </si>
  <si>
    <t>Ch à rép + Prime de remb + écart de conv</t>
  </si>
  <si>
    <t>TOTAL GENERAL</t>
  </si>
  <si>
    <t>Date</t>
  </si>
  <si>
    <t>Adj Close</t>
  </si>
  <si>
    <t>Volume</t>
  </si>
  <si>
    <t>Moyenne 2023:</t>
  </si>
  <si>
    <t>Hypothèses (CMPC) :</t>
  </si>
  <si>
    <t>Rd</t>
  </si>
  <si>
    <t>Bêta</t>
  </si>
  <si>
    <t>Rm</t>
  </si>
  <si>
    <t>Rf</t>
  </si>
  <si>
    <t>taux d'imposition IS</t>
  </si>
  <si>
    <t>Rcp</t>
  </si>
  <si>
    <t>D/ (D + CP)</t>
  </si>
  <si>
    <t>CP / (CP+D)</t>
  </si>
  <si>
    <t>1-τ</t>
  </si>
  <si>
    <t>CMPC</t>
  </si>
  <si>
    <t>Flux de trésorerie d'exploitation</t>
  </si>
  <si>
    <t>Flux de trésorerie d'investissement</t>
  </si>
  <si>
    <t>Flux de trésorerie disponible</t>
  </si>
  <si>
    <t>Moyenne</t>
  </si>
  <si>
    <t xml:space="preserve">Taux d'actualisation </t>
  </si>
  <si>
    <t>Flux de trésorerie actualisés</t>
  </si>
  <si>
    <t>Valeur entreprise</t>
  </si>
  <si>
    <t>D0</t>
  </si>
  <si>
    <t>D1</t>
  </si>
  <si>
    <t>D2</t>
  </si>
  <si>
    <t>g</t>
  </si>
  <si>
    <t>r</t>
  </si>
  <si>
    <t>V</t>
  </si>
  <si>
    <t>Volume action</t>
  </si>
  <si>
    <t>Source : Boursorama</t>
  </si>
  <si>
    <t>Estimation d'un modèle linéaire</t>
  </si>
  <si>
    <r>
      <rPr>
        <rFont val="Calibri"/>
        <color rgb="FF000000"/>
        <sz val="11.0"/>
      </rPr>
      <t>Bénéfice d'exploitation ox</t>
    </r>
    <r>
      <rPr>
        <rFont val="Calibri"/>
        <color rgb="FF000000"/>
        <sz val="8.0"/>
      </rPr>
      <t>t</t>
    </r>
  </si>
  <si>
    <r>
      <rPr>
        <rFont val="Calibri, Arial"/>
        <color theme="1"/>
        <sz val="11.0"/>
      </rPr>
      <t>Actif exploitation net oa</t>
    </r>
    <r>
      <rPr>
        <rFont val="Calibri, Arial"/>
        <color theme="1"/>
        <sz val="8.0"/>
      </rPr>
      <t>t</t>
    </r>
  </si>
  <si>
    <r>
      <rPr>
        <rFont val="Calibri, Arial"/>
        <color theme="1"/>
        <sz val="11.0"/>
      </rPr>
      <t>Bénéfice résiduel d'exploitation ox</t>
    </r>
    <r>
      <rPr>
        <rFont val="Calibri"/>
        <color rgb="FF000000"/>
        <sz val="8.0"/>
      </rPr>
      <t>at</t>
    </r>
  </si>
  <si>
    <t>R-1</t>
  </si>
  <si>
    <t>Book Value</t>
  </si>
  <si>
    <r>
      <rPr>
        <rFont val="Calibri, Arial"/>
        <b/>
        <color theme="1"/>
        <sz val="11.0"/>
      </rPr>
      <t>Régression oa</t>
    </r>
    <r>
      <rPr>
        <rFont val="Calibri, Arial"/>
        <b/>
        <color theme="1"/>
        <sz val="8.0"/>
      </rPr>
      <t>t</t>
    </r>
  </si>
  <si>
    <t>Constante</t>
  </si>
  <si>
    <r>
      <rPr>
        <rFont val="Calibri, Arial"/>
        <color theme="1"/>
        <sz val="11.0"/>
      </rPr>
      <t>oa</t>
    </r>
    <r>
      <rPr>
        <rFont val="Calibri"/>
        <color rgb="FF000000"/>
        <sz val="8.0"/>
      </rPr>
      <t>t-1</t>
    </r>
  </si>
  <si>
    <t>Régression FO</t>
  </si>
  <si>
    <r>
      <rPr>
        <rFont val="Calibri"/>
        <color rgb="FF000000"/>
        <sz val="11.0"/>
      </rPr>
      <t>ox</t>
    </r>
    <r>
      <rPr>
        <rFont val="Calibri"/>
        <color rgb="FF000000"/>
        <sz val="8.0"/>
      </rPr>
      <t>at-1</t>
    </r>
  </si>
  <si>
    <r>
      <rPr>
        <rFont val="Calibri"/>
        <color rgb="FF000000"/>
        <sz val="11.0"/>
      </rPr>
      <t>oa</t>
    </r>
    <r>
      <rPr>
        <rFont val="Calibri"/>
        <color rgb="FF000000"/>
        <sz val="9.0"/>
      </rPr>
      <t>t</t>
    </r>
  </si>
  <si>
    <t>En faisant 2 régressions distinctes</t>
  </si>
  <si>
    <t>oxat/oxat-1</t>
  </si>
  <si>
    <r>
      <rPr>
        <rFont val="Calibri, Arial"/>
        <color theme="1"/>
        <sz val="11.0"/>
      </rPr>
      <t>ox</t>
    </r>
    <r>
      <rPr>
        <rFont val="Calibri, Arial"/>
        <color theme="1"/>
        <sz val="8.0"/>
      </rPr>
      <t>at</t>
    </r>
    <r>
      <rPr>
        <rFont val="Calibri, Arial"/>
        <color theme="1"/>
        <sz val="11.0"/>
      </rPr>
      <t>/oa</t>
    </r>
    <r>
      <rPr>
        <rFont val="Calibri, Arial"/>
        <color theme="1"/>
        <sz val="8.0"/>
      </rPr>
      <t>t-1</t>
    </r>
  </si>
  <si>
    <t>Pente</t>
  </si>
  <si>
    <t>-5.06</t>
  </si>
  <si>
    <t>Ordonnée à l'origine</t>
  </si>
  <si>
    <t>-358867.22</t>
  </si>
  <si>
    <t xml:space="preserve">2924.65728 </t>
  </si>
  <si>
    <t>Non concluant au vu des conditions sur les coefficients</t>
  </si>
  <si>
    <t xml:space="preserve">Pt </t>
  </si>
  <si>
    <t>Somme actualisée des dividendes</t>
  </si>
  <si>
    <t>Dividendes calculés avec g</t>
  </si>
  <si>
    <t>Dividendes calculés avec R</t>
  </si>
  <si>
    <t>Prix (5)</t>
  </si>
  <si>
    <t>Prix (10)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</si>
</sst>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0"/>
    <numFmt numFmtId="166" formatCode="#,##0.000"/>
    <numFmt numFmtId="167" formatCode="dd/mm/yyyy"/>
    <numFmt numFmtId="168" formatCode="yyyy-mm-dd"/>
    <numFmt numFmtId="169" formatCode="0.0000"/>
    <numFmt numFmtId="170" formatCode="0.00000"/>
  </numFmts>
  <fonts count="38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i/>
      <sz val="9.0"/>
      <color rgb="FF000000"/>
      <name val="Calibri"/>
    </font>
    <font>
      <i/>
      <sz val="12.0"/>
      <color rgb="FF000000"/>
      <name val="Calibri"/>
    </font>
    <font>
      <b/>
      <sz val="11.0"/>
      <color theme="1"/>
      <name val="Calibri"/>
    </font>
    <font>
      <color theme="1"/>
      <name val="Arial"/>
    </font>
    <font>
      <i/>
      <sz val="11.0"/>
      <color theme="1"/>
      <name val="Calibri"/>
    </font>
    <font>
      <sz val="9.0"/>
      <color theme="1"/>
      <name val="Calibri"/>
    </font>
    <font>
      <sz val="11.0"/>
      <color rgb="FF000000"/>
      <name val="Docs-Calibri"/>
    </font>
    <font>
      <sz val="11.0"/>
      <color rgb="FF000000"/>
      <name val="Calibri"/>
    </font>
    <font>
      <color theme="1"/>
      <name val="Arial"/>
      <scheme val="minor"/>
    </font>
    <font>
      <b/>
      <sz val="12.0"/>
      <color rgb="FFFF0000"/>
      <name val="Calibri"/>
    </font>
    <font>
      <sz val="11.0"/>
      <color rgb="FF444444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color theme="1"/>
      <name val="Calibri"/>
    </font>
    <font>
      <sz val="10.0"/>
      <color theme="1"/>
      <name val="Arial"/>
    </font>
    <font>
      <sz val="16.0"/>
      <color theme="1"/>
      <name val="&quot;Arial Black&quot;"/>
    </font>
    <font/>
    <font>
      <b/>
      <sz val="14.0"/>
      <color theme="1"/>
      <name val="&quot;Calibri Light&quot;"/>
    </font>
    <font>
      <b/>
      <sz val="14.0"/>
      <color theme="1"/>
      <name val="Arial"/>
    </font>
    <font>
      <b/>
      <u/>
      <sz val="12.0"/>
      <color theme="1"/>
      <name val="&quot;Calibri Light&quot;"/>
    </font>
    <font>
      <b/>
      <sz val="13.0"/>
      <color theme="1"/>
      <name val="Arial"/>
      <scheme val="minor"/>
    </font>
    <font>
      <b/>
      <i/>
      <color theme="1"/>
      <name val="&quot;Calibri Light&quot;"/>
    </font>
    <font>
      <sz val="11.0"/>
      <color theme="1"/>
      <name val="&quot;Calibri Light&quot;"/>
    </font>
    <font>
      <sz val="11.0"/>
      <color theme="1"/>
      <name val="Arial"/>
    </font>
    <font>
      <b/>
      <sz val="11.0"/>
      <color theme="1"/>
      <name val="&quot;Calibri Light&quot;"/>
    </font>
    <font>
      <i/>
      <sz val="11.0"/>
      <color theme="1"/>
      <name val="Arial"/>
    </font>
    <font>
      <color theme="1"/>
      <name val="&quot;Calibri Light&quot;"/>
    </font>
    <font>
      <b/>
      <sz val="11.0"/>
      <color theme="1"/>
      <name val="Arial"/>
    </font>
    <font>
      <sz val="11.0"/>
      <color rgb="FF444444"/>
      <name val="&quot;Calibri Light&quot;"/>
    </font>
    <font>
      <b/>
      <color theme="1"/>
      <name val="&quot;Calibri Light&quot;"/>
    </font>
    <font>
      <b/>
      <sz val="12.0"/>
      <color theme="1"/>
      <name val="Arial"/>
    </font>
    <font>
      <b/>
      <color theme="1"/>
      <name val="Arial"/>
    </font>
    <font>
      <i/>
      <sz val="9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27">
    <border/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ont="1">
      <alignment horizontal="right" readingOrder="0" vertical="bottom"/>
    </xf>
    <xf borderId="2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/>
    </xf>
    <xf borderId="5" fillId="2" fontId="3" numFmtId="0" xfId="0" applyBorder="1" applyFont="1"/>
    <xf borderId="6" fillId="2" fontId="3" numFmtId="0" xfId="0" applyBorder="1" applyFont="1"/>
    <xf borderId="4" fillId="2" fontId="3" numFmtId="0" xfId="0" applyAlignment="1" applyBorder="1" applyFont="1">
      <alignment readingOrder="0"/>
    </xf>
    <xf borderId="5" fillId="2" fontId="3" numFmtId="3" xfId="0" applyAlignment="1" applyBorder="1" applyFont="1" applyNumberFormat="1">
      <alignment horizontal="right"/>
    </xf>
    <xf borderId="5" fillId="2" fontId="3" numFmtId="10" xfId="0" applyAlignment="1" applyBorder="1" applyFont="1" applyNumberFormat="1">
      <alignment horizontal="right" readingOrder="0"/>
    </xf>
    <xf borderId="6" fillId="2" fontId="3" numFmtId="10" xfId="0" applyAlignment="1" applyBorder="1" applyFont="1" applyNumberFormat="1">
      <alignment horizontal="right"/>
    </xf>
    <xf borderId="7" fillId="2" fontId="3" numFmtId="0" xfId="0" applyBorder="1" applyFont="1"/>
    <xf borderId="8" fillId="2" fontId="3" numFmtId="0" xfId="0" applyBorder="1" applyFont="1"/>
    <xf borderId="8" fillId="2" fontId="1" numFmtId="10" xfId="0" applyBorder="1" applyFont="1" applyNumberFormat="1"/>
    <xf borderId="9" fillId="2" fontId="1" numFmtId="10" xfId="0" applyBorder="1" applyFont="1" applyNumberFormat="1"/>
    <xf borderId="5" fillId="2" fontId="1" numFmtId="10" xfId="0" applyBorder="1" applyFont="1" applyNumberFormat="1"/>
    <xf borderId="6" fillId="2" fontId="1" numFmtId="10" xfId="0" applyBorder="1" applyFont="1" applyNumberFormat="1"/>
    <xf borderId="5" fillId="2" fontId="3" numFmtId="10" xfId="0" applyAlignment="1" applyBorder="1" applyFont="1" applyNumberFormat="1">
      <alignment horizontal="right"/>
    </xf>
    <xf borderId="4" fillId="2" fontId="3" numFmtId="0" xfId="0" applyBorder="1" applyFont="1"/>
    <xf borderId="10" fillId="2" fontId="2" numFmtId="0" xfId="0" applyAlignment="1" applyBorder="1" applyFont="1">
      <alignment readingOrder="0"/>
    </xf>
    <xf borderId="11" fillId="2" fontId="3" numFmtId="3" xfId="0" applyAlignment="1" applyBorder="1" applyFont="1" applyNumberFormat="1">
      <alignment horizontal="right"/>
    </xf>
    <xf borderId="10" fillId="2" fontId="1" numFmtId="0" xfId="0" applyBorder="1" applyFont="1"/>
    <xf borderId="11" fillId="2" fontId="1" numFmtId="0" xfId="0" applyBorder="1" applyFont="1"/>
    <xf borderId="11" fillId="2" fontId="1" numFmtId="10" xfId="0" applyBorder="1" applyFont="1" applyNumberFormat="1"/>
    <xf borderId="1" fillId="2" fontId="1" numFmtId="10" xfId="0" applyBorder="1" applyFont="1" applyNumberFormat="1"/>
    <xf borderId="12" fillId="2" fontId="2" numFmtId="0" xfId="0" applyBorder="1" applyFont="1"/>
    <xf borderId="13" fillId="0" fontId="4" numFmtId="3" xfId="0" applyBorder="1" applyFont="1" applyNumberFormat="1"/>
    <xf borderId="13" fillId="0" fontId="4" numFmtId="0" xfId="0" applyBorder="1" applyFont="1"/>
    <xf borderId="13" fillId="2" fontId="4" numFmtId="10" xfId="0" applyBorder="1" applyFont="1" applyNumberFormat="1"/>
    <xf borderId="14" fillId="2" fontId="4" numFmtId="10" xfId="0" applyBorder="1" applyFont="1" applyNumberFormat="1"/>
    <xf borderId="0" fillId="0" fontId="4" numFmtId="0" xfId="0" applyFont="1"/>
    <xf borderId="4" fillId="2" fontId="3" numFmtId="0" xfId="0" applyBorder="1" applyFont="1"/>
    <xf borderId="0" fillId="0" fontId="4" numFmtId="3" xfId="0" applyAlignment="1" applyFont="1" applyNumberFormat="1">
      <alignment readingOrder="0"/>
    </xf>
    <xf borderId="5" fillId="2" fontId="4" numFmtId="10" xfId="0" applyBorder="1" applyFont="1" applyNumberFormat="1"/>
    <xf borderId="4" fillId="0" fontId="1" numFmtId="0" xfId="0" applyBorder="1" applyFont="1"/>
    <xf borderId="5" fillId="0" fontId="4" numFmtId="3" xfId="0" applyBorder="1" applyFont="1" applyNumberFormat="1"/>
    <xf borderId="4" fillId="2" fontId="3" numFmtId="0" xfId="0" applyAlignment="1" applyBorder="1" applyFont="1">
      <alignment readingOrder="0" shrinkToFit="0" wrapText="1"/>
    </xf>
    <xf borderId="5" fillId="0" fontId="4" numFmtId="3" xfId="0" applyAlignment="1" applyBorder="1" applyFont="1" applyNumberFormat="1">
      <alignment horizontal="right"/>
    </xf>
    <xf borderId="0" fillId="0" fontId="5" numFmtId="0" xfId="0" applyAlignment="1" applyFont="1">
      <alignment readingOrder="0"/>
    </xf>
    <xf borderId="5" fillId="0" fontId="6" numFmtId="3" xfId="0" applyAlignment="1" applyBorder="1" applyFont="1" applyNumberFormat="1">
      <alignment horizontal="right" readingOrder="0"/>
    </xf>
    <xf borderId="4" fillId="2" fontId="5" numFmtId="0" xfId="0" applyAlignment="1" applyBorder="1" applyFont="1">
      <alignment readingOrder="0"/>
    </xf>
    <xf borderId="10" fillId="2" fontId="2" numFmtId="0" xfId="0" applyBorder="1" applyFont="1"/>
    <xf borderId="11" fillId="2" fontId="1" numFmtId="3" xfId="0" applyAlignment="1" applyBorder="1" applyFont="1" applyNumberFormat="1">
      <alignment horizontal="right"/>
    </xf>
    <xf borderId="0" fillId="0" fontId="1" numFmtId="0" xfId="0" applyAlignment="1" applyFont="1">
      <alignment vertical="bottom"/>
    </xf>
    <xf borderId="0" fillId="0" fontId="7" numFmtId="3" xfId="0" applyAlignment="1" applyFont="1" applyNumberFormat="1">
      <alignment readingOrder="0" vertical="bottom"/>
    </xf>
    <xf borderId="0" fillId="0" fontId="7" numFmtId="3" xfId="0" applyAlignment="1" applyFont="1" applyNumberFormat="1">
      <alignment horizontal="right" readingOrder="0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4" xfId="0" applyAlignment="1" applyFont="1" applyNumberFormat="1">
      <alignment horizontal="right" readingOrder="0" vertical="bottom"/>
    </xf>
    <xf borderId="0" fillId="3" fontId="9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1" numFmtId="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8" numFmtId="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8" numFmtId="10" xfId="0" applyAlignment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2" fontId="11" numFmtId="4" xfId="0" applyAlignment="1" applyFont="1" applyNumberFormat="1">
      <alignment horizontal="right" readingOrder="0"/>
    </xf>
    <xf borderId="5" fillId="2" fontId="1" numFmtId="4" xfId="0" applyAlignment="1" applyBorder="1" applyFont="1" applyNumberFormat="1">
      <alignment horizontal="right" readingOrder="0"/>
    </xf>
    <xf borderId="0" fillId="0" fontId="1" numFmtId="4" xfId="0" applyAlignment="1" applyFont="1" applyNumberFormat="1">
      <alignment readingOrder="0" vertical="bottom"/>
    </xf>
    <xf borderId="0" fillId="0" fontId="1" numFmtId="4" xfId="0" applyAlignment="1" applyFont="1" applyNumberFormat="1">
      <alignment vertical="bottom"/>
    </xf>
    <xf borderId="0" fillId="0" fontId="12" numFmtId="4" xfId="0" applyAlignment="1" applyFont="1" applyNumberFormat="1">
      <alignment horizontal="right" readingOrder="0" vertical="bottom"/>
    </xf>
    <xf borderId="0" fillId="0" fontId="12" numFmtId="4" xfId="0" applyAlignment="1" applyFont="1" applyNumberFormat="1">
      <alignment horizontal="right" vertical="bottom"/>
    </xf>
    <xf borderId="0" fillId="0" fontId="12" numFmtId="4" xfId="0" applyAlignment="1" applyFont="1" applyNumberFormat="1">
      <alignment horizontal="right" readingOrder="0"/>
    </xf>
    <xf borderId="0" fillId="0" fontId="9" numFmtId="0" xfId="0" applyAlignment="1" applyFont="1">
      <alignment shrinkToFit="0" vertical="bottom" wrapText="0"/>
    </xf>
    <xf borderId="0" fillId="0" fontId="12" numFmtId="4" xfId="0" applyAlignment="1" applyFont="1" applyNumberFormat="1">
      <alignment vertical="bottom"/>
    </xf>
    <xf borderId="0" fillId="0" fontId="12" numFmtId="4" xfId="0" applyAlignment="1" applyFont="1" applyNumberFormat="1">
      <alignment readingOrder="0" vertical="bottom"/>
    </xf>
    <xf borderId="0" fillId="2" fontId="12" numFmtId="4" xfId="0" applyAlignment="1" applyFont="1" applyNumberFormat="1">
      <alignment readingOrder="0" shrinkToFit="0" wrapText="0"/>
    </xf>
    <xf borderId="0" fillId="0" fontId="7" numFmtId="0" xfId="0" applyAlignment="1" applyFont="1">
      <alignment shrinkToFit="0" vertical="bottom" wrapText="0"/>
    </xf>
    <xf borderId="0" fillId="0" fontId="12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3" numFmtId="4" xfId="0" applyFont="1" applyNumberFormat="1"/>
    <xf borderId="15" fillId="4" fontId="14" numFmtId="0" xfId="0" applyAlignment="1" applyBorder="1" applyFill="1" applyFont="1">
      <alignment readingOrder="0" vertical="bottom"/>
    </xf>
    <xf borderId="16" fillId="4" fontId="1" numFmtId="0" xfId="0" applyAlignment="1" applyBorder="1" applyFont="1">
      <alignment vertical="bottom"/>
    </xf>
    <xf borderId="14" fillId="4" fontId="1" numFmtId="0" xfId="0" applyAlignment="1" applyBorder="1" applyFont="1">
      <alignment vertical="bottom"/>
    </xf>
    <xf borderId="17" fillId="4" fontId="1" numFmtId="0" xfId="0" applyAlignment="1" applyBorder="1" applyFon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right" readingOrder="0" vertical="bottom"/>
    </xf>
    <xf borderId="6" fillId="4" fontId="1" numFmtId="0" xfId="0" applyBorder="1" applyFont="1"/>
    <xf borderId="18" fillId="4" fontId="3" numFmtId="0" xfId="0" applyBorder="1" applyFont="1"/>
    <xf borderId="9" fillId="4" fontId="3" numFmtId="3" xfId="0" applyAlignment="1" applyBorder="1" applyFont="1" applyNumberFormat="1">
      <alignment horizontal="right"/>
    </xf>
    <xf borderId="6" fillId="4" fontId="1" numFmtId="10" xfId="0" applyBorder="1" applyFont="1" applyNumberFormat="1"/>
    <xf borderId="18" fillId="4" fontId="3" numFmtId="0" xfId="0" applyAlignment="1" applyBorder="1" applyFont="1">
      <alignment readingOrder="0"/>
    </xf>
    <xf borderId="9" fillId="4" fontId="1" numFmtId="3" xfId="0" applyAlignment="1" applyBorder="1" applyFont="1" applyNumberFormat="1">
      <alignment horizontal="right" vertical="bottom"/>
    </xf>
    <xf borderId="17" fillId="4" fontId="2" numFmtId="0" xfId="0" applyBorder="1" applyFont="1"/>
    <xf borderId="1" fillId="4" fontId="2" numFmtId="4" xfId="0" applyAlignment="1" applyBorder="1" applyFont="1" applyNumberFormat="1">
      <alignment horizontal="right"/>
    </xf>
    <xf borderId="19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20" fillId="4" fontId="1" numFmtId="0" xfId="0" applyAlignment="1" applyBorder="1" applyFont="1">
      <alignment vertical="bottom"/>
    </xf>
    <xf borderId="17" fillId="4" fontId="1" numFmtId="0" xfId="0" applyBorder="1" applyFont="1"/>
    <xf borderId="11" fillId="4" fontId="2" numFmtId="0" xfId="0" applyAlignment="1" applyBorder="1" applyFont="1">
      <alignment horizontal="right" vertical="bottom"/>
    </xf>
    <xf borderId="6" fillId="4" fontId="1" numFmtId="0" xfId="0" applyAlignment="1" applyBorder="1" applyFont="1">
      <alignment vertical="bottom"/>
    </xf>
    <xf borderId="0" fillId="0" fontId="15" numFmtId="0" xfId="0" applyAlignment="1" applyFont="1">
      <alignment shrinkToFit="0" vertical="bottom" wrapText="0"/>
    </xf>
    <xf borderId="21" fillId="4" fontId="3" numFmtId="0" xfId="0" applyBorder="1" applyFont="1"/>
    <xf borderId="9" fillId="4" fontId="1" numFmtId="3" xfId="0" applyAlignment="1" applyBorder="1" applyFont="1" applyNumberFormat="1">
      <alignment horizontal="right" readingOrder="0" vertical="bottom"/>
    </xf>
    <xf borderId="17" fillId="4" fontId="2" numFmtId="0" xfId="0" applyAlignment="1" applyBorder="1" applyFont="1">
      <alignment readingOrder="0"/>
    </xf>
    <xf borderId="9" fillId="4" fontId="1" numFmtId="2" xfId="0" applyAlignment="1" applyBorder="1" applyFont="1" applyNumberFormat="1">
      <alignment horizontal="center" vertical="bottom"/>
    </xf>
    <xf borderId="21" fillId="4" fontId="3" numFmtId="0" xfId="0" applyAlignment="1" applyBorder="1" applyFont="1">
      <alignment readingOrder="0"/>
    </xf>
    <xf borderId="1" fillId="4" fontId="2" numFmtId="3" xfId="0" applyAlignment="1" applyBorder="1" applyFont="1" applyNumberFormat="1">
      <alignment horizontal="right"/>
    </xf>
    <xf borderId="1" fillId="4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19" fillId="5" fontId="14" numFmtId="0" xfId="0" applyAlignment="1" applyBorder="1" applyFill="1" applyFont="1">
      <alignment readingOrder="0" vertical="bottom"/>
    </xf>
    <xf borderId="20" fillId="5" fontId="1" numFmtId="0" xfId="0" applyAlignment="1" applyBorder="1" applyFont="1">
      <alignment vertical="bottom"/>
    </xf>
    <xf borderId="6" fillId="5" fontId="1" numFmtId="0" xfId="0" applyAlignment="1" applyBorder="1" applyFont="1">
      <alignment vertical="bottom"/>
    </xf>
    <xf borderId="17" fillId="5" fontId="1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readingOrder="0" vertical="bottom"/>
    </xf>
    <xf borderId="21" fillId="5" fontId="3" numFmtId="0" xfId="0" applyAlignment="1" applyBorder="1" applyFont="1">
      <alignment readingOrder="0"/>
    </xf>
    <xf borderId="9" fillId="5" fontId="12" numFmtId="4" xfId="0" applyAlignment="1" applyBorder="1" applyFont="1" applyNumberFormat="1">
      <alignment horizontal="right" vertical="bottom"/>
    </xf>
    <xf borderId="17" fillId="5" fontId="2" numFmtId="0" xfId="0" applyBorder="1" applyFont="1"/>
    <xf borderId="1" fillId="5" fontId="16" numFmtId="4" xfId="0" applyAlignment="1" applyBorder="1" applyFont="1" applyNumberFormat="1">
      <alignment horizontal="right" vertical="bottom"/>
    </xf>
    <xf borderId="6" fillId="5" fontId="12" numFmtId="0" xfId="0" applyAlignment="1" applyBorder="1" applyFont="1">
      <alignment vertical="bottom"/>
    </xf>
    <xf borderId="19" fillId="5" fontId="1" numFmtId="0" xfId="0" applyAlignment="1" applyBorder="1" applyFont="1">
      <alignment vertical="bottom"/>
    </xf>
    <xf borderId="17" fillId="5" fontId="1" numFmtId="0" xfId="0" applyBorder="1" applyFont="1"/>
    <xf borderId="21" fillId="5" fontId="3" numFmtId="0" xfId="0" applyBorder="1" applyFont="1"/>
    <xf borderId="9" fillId="5" fontId="1" numFmtId="4" xfId="0" applyAlignment="1" applyBorder="1" applyFont="1" applyNumberFormat="1">
      <alignment horizontal="right" vertical="bottom"/>
    </xf>
    <xf borderId="1" fillId="5" fontId="7" numFmtId="4" xfId="0" applyAlignment="1" applyBorder="1" applyFont="1" applyNumberFormat="1">
      <alignment horizontal="right" vertical="bottom"/>
    </xf>
    <xf borderId="0" fillId="5" fontId="1" numFmtId="0" xfId="0" applyAlignment="1" applyFont="1">
      <alignment vertical="bottom"/>
    </xf>
    <xf borderId="6" fillId="5" fontId="1" numFmtId="4" xfId="0" applyAlignment="1" applyBorder="1" applyFont="1" applyNumberFormat="1">
      <alignment horizontal="right" vertical="bottom"/>
    </xf>
    <xf borderId="1" fillId="5" fontId="7" numFmtId="165" xfId="0" applyAlignment="1" applyBorder="1" applyFont="1" applyNumberFormat="1">
      <alignment horizontal="right" vertical="bottom"/>
    </xf>
    <xf borderId="1" fillId="5" fontId="7" numFmtId="166" xfId="0" applyAlignment="1" applyBorder="1" applyFont="1" applyNumberFormat="1">
      <alignment horizontal="right" vertical="bottom"/>
    </xf>
    <xf borderId="9" fillId="5" fontId="12" numFmtId="3" xfId="0" applyAlignment="1" applyBorder="1" applyFont="1" applyNumberFormat="1">
      <alignment horizontal="right"/>
    </xf>
    <xf borderId="9" fillId="5" fontId="12" numFmtId="0" xfId="0" applyAlignment="1" applyBorder="1" applyFont="1">
      <alignment horizontal="right" readingOrder="0" vertical="bottom"/>
    </xf>
    <xf borderId="1" fillId="5" fontId="7" numFmtId="0" xfId="0" applyAlignment="1" applyBorder="1" applyFont="1">
      <alignment horizontal="right" vertical="bottom"/>
    </xf>
    <xf borderId="1" fillId="5" fontId="1" numFmtId="0" xfId="0" applyAlignment="1" applyBorder="1" applyFont="1">
      <alignment vertical="bottom"/>
    </xf>
    <xf borderId="19" fillId="6" fontId="17" numFmtId="0" xfId="0" applyAlignment="1" applyBorder="1" applyFill="1" applyFont="1">
      <alignment readingOrder="0" vertical="bottom"/>
    </xf>
    <xf borderId="20" fillId="6" fontId="1" numFmtId="0" xfId="0" applyAlignment="1" applyBorder="1" applyFont="1">
      <alignment vertical="bottom"/>
    </xf>
    <xf borderId="6" fillId="6" fontId="1" numFmtId="0" xfId="0" applyAlignment="1" applyBorder="1" applyFont="1">
      <alignment vertical="bottom"/>
    </xf>
    <xf borderId="17" fillId="6" fontId="1" numFmtId="0" xfId="0" applyBorder="1" applyFont="1"/>
    <xf borderId="11" fillId="6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right" readingOrder="0" vertical="bottom"/>
    </xf>
    <xf borderId="21" fillId="6" fontId="3" numFmtId="0" xfId="0" applyBorder="1" applyFont="1"/>
    <xf borderId="9" fillId="6" fontId="1" numFmtId="4" xfId="0" applyAlignment="1" applyBorder="1" applyFont="1" applyNumberFormat="1">
      <alignment horizontal="right" vertical="bottom"/>
    </xf>
    <xf borderId="21" fillId="6" fontId="3" numFmtId="0" xfId="0" applyAlignment="1" applyBorder="1" applyFont="1">
      <alignment readingOrder="0"/>
    </xf>
    <xf borderId="9" fillId="6" fontId="18" numFmtId="0" xfId="0" applyAlignment="1" applyBorder="1" applyFont="1">
      <alignment horizontal="right" vertical="bottom"/>
    </xf>
    <xf borderId="17" fillId="6" fontId="2" numFmtId="0" xfId="0" applyAlignment="1" applyBorder="1" applyFont="1">
      <alignment readingOrder="0"/>
    </xf>
    <xf borderId="1" fillId="6" fontId="7" numFmtId="4" xfId="0" applyAlignment="1" applyBorder="1" applyFont="1" applyNumberFormat="1">
      <alignment horizontal="right" vertical="bottom"/>
    </xf>
    <xf borderId="19" fillId="6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1" fillId="6" fontId="2" numFmtId="0" xfId="0" applyAlignment="1" applyBorder="1" applyFont="1">
      <alignment horizontal="right" vertical="bottom"/>
    </xf>
    <xf borderId="9" fillId="6" fontId="1" numFmtId="3" xfId="0" applyAlignment="1" applyBorder="1" applyFont="1" applyNumberFormat="1">
      <alignment horizontal="right"/>
    </xf>
    <xf borderId="17" fillId="6" fontId="2" numFmtId="0" xfId="0" applyBorder="1" applyFont="1"/>
    <xf borderId="22" fillId="6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23" fillId="7" fontId="20" numFmtId="0" xfId="0" applyAlignment="1" applyBorder="1" applyFill="1" applyFont="1">
      <alignment horizontal="center" readingOrder="0" vertical="bottom"/>
    </xf>
    <xf borderId="23" fillId="0" fontId="21" numFmtId="0" xfId="0" applyBorder="1" applyFont="1"/>
    <xf borderId="24" fillId="0" fontId="21" numFmtId="0" xfId="0" applyBorder="1" applyFont="1"/>
    <xf borderId="5" fillId="0" fontId="8" numFmtId="0" xfId="0" applyAlignment="1" applyBorder="1" applyFont="1">
      <alignment vertical="bottom"/>
    </xf>
    <xf borderId="5" fillId="0" fontId="21" numFmtId="0" xfId="0" applyBorder="1" applyFont="1"/>
    <xf borderId="25" fillId="0" fontId="21" numFmtId="0" xfId="0" applyBorder="1" applyFont="1"/>
    <xf borderId="8" fillId="0" fontId="21" numFmtId="0" xfId="0" applyBorder="1" applyFont="1"/>
    <xf borderId="25" fillId="0" fontId="8" numFmtId="0" xfId="0" applyAlignment="1" applyBorder="1" applyFont="1">
      <alignment vertical="bottom"/>
    </xf>
    <xf borderId="8" fillId="0" fontId="22" numFmtId="0" xfId="0" applyAlignment="1" applyBorder="1" applyFont="1">
      <alignment vertical="bottom"/>
    </xf>
    <xf borderId="8" fillId="0" fontId="23" numFmtId="167" xfId="0" applyAlignment="1" applyBorder="1" applyFont="1" applyNumberFormat="1">
      <alignment horizontal="right" vertical="bottom"/>
    </xf>
    <xf borderId="0" fillId="8" fontId="7" numFmtId="0" xfId="0" applyAlignment="1" applyFill="1" applyFont="1">
      <alignment readingOrder="0" vertical="bottom"/>
    </xf>
    <xf borderId="5" fillId="0" fontId="24" numFmtId="0" xfId="0" applyAlignment="1" applyBorder="1" applyFont="1">
      <alignment vertical="bottom"/>
    </xf>
    <xf borderId="0" fillId="9" fontId="1" numFmtId="0" xfId="0" applyAlignment="1" applyFill="1" applyFont="1">
      <alignment horizontal="right" vertical="bottom"/>
    </xf>
    <xf borderId="0" fillId="0" fontId="25" numFmtId="0" xfId="0" applyFont="1"/>
    <xf borderId="0" fillId="0" fontId="25" numFmtId="0" xfId="0" applyAlignment="1" applyFont="1">
      <alignment readingOrder="0"/>
    </xf>
    <xf borderId="0" fillId="8" fontId="8" numFmtId="0" xfId="0" applyAlignment="1" applyFont="1">
      <alignment vertical="bottom"/>
    </xf>
    <xf borderId="5" fillId="8" fontId="8" numFmtId="0" xfId="0" applyAlignment="1" applyBorder="1" applyFont="1">
      <alignment vertical="bottom"/>
    </xf>
    <xf borderId="5" fillId="0" fontId="26" numFmtId="0" xfId="0" applyAlignment="1" applyBorder="1" applyFont="1">
      <alignment vertical="bottom"/>
    </xf>
    <xf borderId="5" fillId="0" fontId="27" numFmtId="0" xfId="0" applyAlignment="1" applyBorder="1" applyFont="1">
      <alignment vertical="bottom"/>
    </xf>
    <xf borderId="5" fillId="0" fontId="28" numFmtId="0" xfId="0" applyAlignment="1" applyBorder="1" applyFont="1">
      <alignment horizontal="right" vertical="bottom"/>
    </xf>
    <xf borderId="0" fillId="9" fontId="8" numFmtId="0" xfId="0" applyAlignment="1" applyFont="1">
      <alignment vertical="bottom"/>
    </xf>
    <xf borderId="5" fillId="0" fontId="28" numFmtId="0" xfId="0" applyAlignment="1" applyBorder="1" applyFont="1">
      <alignment horizontal="right" readingOrder="0" vertical="bottom"/>
    </xf>
    <xf borderId="5" fillId="0" fontId="29" numFmtId="0" xfId="0" applyAlignment="1" applyBorder="1" applyFont="1">
      <alignment vertical="bottom"/>
    </xf>
    <xf borderId="0" fillId="0" fontId="29" numFmtId="0" xfId="0" applyAlignment="1" applyFont="1">
      <alignment horizontal="right" vertical="bottom"/>
    </xf>
    <xf borderId="5" fillId="0" fontId="29" numFmtId="0" xfId="0" applyAlignment="1" applyBorder="1" applyFont="1">
      <alignment horizontal="right" vertical="bottom"/>
    </xf>
    <xf borderId="5" fillId="0" fontId="28" numFmtId="0" xfId="0" applyAlignment="1" applyBorder="1" applyFont="1">
      <alignment vertical="bottom"/>
    </xf>
    <xf borderId="5" fillId="0" fontId="30" numFmtId="0" xfId="0" applyAlignment="1" applyBorder="1" applyFont="1">
      <alignment vertical="bottom"/>
    </xf>
    <xf borderId="8" fillId="0" fontId="27" numFmtId="0" xfId="0" applyAlignment="1" applyBorder="1" applyFont="1">
      <alignment vertical="bottom"/>
    </xf>
    <xf borderId="25" fillId="0" fontId="31" numFmtId="0" xfId="0" applyAlignment="1" applyBorder="1" applyFont="1">
      <alignment horizontal="right" vertical="bottom"/>
    </xf>
    <xf borderId="8" fillId="0" fontId="31" numFmtId="0" xfId="0" applyAlignment="1" applyBorder="1" applyFont="1">
      <alignment horizontal="right" vertical="bottom"/>
    </xf>
    <xf borderId="8" fillId="0" fontId="29" numFmtId="0" xfId="0" applyAlignment="1" applyBorder="1" applyFont="1">
      <alignment vertical="bottom"/>
    </xf>
    <xf borderId="8" fillId="0" fontId="32" numFmtId="0" xfId="0" applyAlignment="1" applyBorder="1" applyFont="1">
      <alignment horizontal="right" vertical="bottom"/>
    </xf>
    <xf borderId="5" fillId="0" fontId="33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0" fontId="34" numFmtId="0" xfId="0" applyAlignment="1" applyBorder="1" applyFont="1">
      <alignment vertical="bottom"/>
    </xf>
    <xf borderId="8" fillId="0" fontId="34" numFmtId="0" xfId="0" applyAlignment="1" applyBorder="1" applyFont="1">
      <alignment horizontal="right" vertical="bottom"/>
    </xf>
    <xf borderId="0" fillId="2" fontId="28" numFmtId="0" xfId="0" applyAlignment="1" applyFont="1">
      <alignment vertical="bottom"/>
    </xf>
    <xf borderId="25" fillId="0" fontId="28" numFmtId="0" xfId="0" applyAlignment="1" applyBorder="1" applyFont="1">
      <alignment vertical="bottom"/>
    </xf>
    <xf borderId="8" fillId="0" fontId="28" numFmtId="0" xfId="0" applyAlignment="1" applyBorder="1" applyFont="1">
      <alignment horizontal="right" vertical="bottom"/>
    </xf>
    <xf borderId="0" fillId="4" fontId="7" numFmtId="0" xfId="0" applyAlignment="1" applyFont="1">
      <alignment readingOrder="0" vertical="bottom"/>
    </xf>
    <xf borderId="25" fillId="0" fontId="29" numFmtId="0" xfId="0" applyAlignment="1" applyBorder="1" applyFont="1">
      <alignment horizontal="right" vertical="bottom"/>
    </xf>
    <xf borderId="0" fillId="4" fontId="8" numFmtId="0" xfId="0" applyAlignment="1" applyFont="1">
      <alignment vertical="bottom"/>
    </xf>
    <xf borderId="5" fillId="4" fontId="8" numFmtId="0" xfId="0" applyAlignment="1" applyBorder="1" applyFont="1">
      <alignment vertical="bottom"/>
    </xf>
    <xf borderId="0" fillId="10" fontId="28" numFmtId="0" xfId="0" applyAlignment="1" applyFill="1" applyFont="1">
      <alignment horizontal="right" readingOrder="0" vertical="bottom"/>
    </xf>
    <xf borderId="5" fillId="0" fontId="28" numFmtId="0" xfId="0" applyAlignment="1" applyBorder="1" applyFont="1">
      <alignment horizontal="right" vertical="top"/>
    </xf>
    <xf borderId="0" fillId="0" fontId="28" numFmtId="0" xfId="0" applyAlignment="1" applyFont="1">
      <alignment horizontal="right" vertical="top"/>
    </xf>
    <xf borderId="5" fillId="2" fontId="28" numFmtId="0" xfId="0" applyAlignment="1" applyBorder="1" applyFont="1">
      <alignment horizontal="right" vertical="bottom"/>
    </xf>
    <xf borderId="0" fillId="10" fontId="8" numFmtId="0" xfId="0" applyAlignment="1" applyFont="1">
      <alignment vertical="bottom"/>
    </xf>
    <xf borderId="8" fillId="0" fontId="28" numFmtId="0" xfId="0" applyAlignment="1" applyBorder="1" applyFont="1">
      <alignment vertical="bottom"/>
    </xf>
    <xf borderId="8" fillId="0" fontId="29" numFmtId="0" xfId="0" applyAlignment="1" applyBorder="1" applyFont="1">
      <alignment horizontal="right" vertical="bottom"/>
    </xf>
    <xf borderId="0" fillId="11" fontId="7" numFmtId="0" xfId="0" applyAlignment="1" applyFill="1" applyFont="1">
      <alignment vertical="bottom"/>
    </xf>
    <xf borderId="5" fillId="11" fontId="8" numFmtId="0" xfId="0" applyAlignment="1" applyBorder="1" applyFont="1">
      <alignment vertical="bottom"/>
    </xf>
    <xf borderId="5" fillId="0" fontId="34" numFmtId="0" xfId="0" applyAlignment="1" applyBorder="1" applyFont="1">
      <alignment horizontal="center" vertical="bottom"/>
    </xf>
    <xf borderId="5" fillId="0" fontId="27" numFmtId="0" xfId="0" applyAlignment="1" applyBorder="1" applyFont="1">
      <alignment horizontal="right" vertical="bottom"/>
    </xf>
    <xf borderId="8" fillId="0" fontId="27" numFmtId="0" xfId="0" applyAlignment="1" applyBorder="1" applyFont="1">
      <alignment horizontal="right" vertical="bottom"/>
    </xf>
    <xf borderId="0" fillId="0" fontId="35" numFmtId="0" xfId="0" applyAlignment="1" applyFont="1">
      <alignment vertical="bottom"/>
    </xf>
    <xf borderId="0" fillId="0" fontId="8" numFmtId="168" xfId="0" applyAlignment="1" applyFont="1" applyNumberFormat="1">
      <alignment horizontal="right" vertical="bottom"/>
    </xf>
    <xf borderId="0" fillId="0" fontId="8" numFmtId="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32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12" fontId="9" numFmtId="0" xfId="0" applyAlignment="1" applyFill="1" applyFont="1">
      <alignment shrinkToFit="0" vertical="bottom" wrapText="0"/>
    </xf>
    <xf borderId="0" fillId="12" fontId="7" numFmtId="0" xfId="0" applyAlignment="1" applyFont="1">
      <alignment vertical="bottom"/>
    </xf>
    <xf borderId="0" fillId="12" fontId="7" numFmtId="0" xfId="0" applyAlignment="1" applyFont="1">
      <alignment shrinkToFit="0" vertical="bottom" wrapText="0"/>
    </xf>
    <xf borderId="0" fillId="12" fontId="1" numFmtId="165" xfId="0" applyAlignment="1" applyFont="1" applyNumberFormat="1">
      <alignment horizontal="right" readingOrder="0" vertical="bottom"/>
    </xf>
    <xf borderId="0" fillId="0" fontId="36" numFmtId="0" xfId="0" applyAlignment="1" applyFont="1">
      <alignment readingOrder="0" vertical="bottom"/>
    </xf>
    <xf borderId="0" fillId="0" fontId="8" numFmtId="165" xfId="0" applyAlignment="1" applyFont="1" applyNumberFormat="1">
      <alignment vertical="bottom"/>
    </xf>
    <xf borderId="0" fillId="7" fontId="36" numFmtId="0" xfId="0" applyAlignment="1" applyFont="1">
      <alignment readingOrder="0" vertical="bottom"/>
    </xf>
    <xf borderId="0" fillId="7" fontId="8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6" fillId="0" fontId="7" numFmtId="3" xfId="0" applyAlignment="1" applyBorder="1" applyFont="1" applyNumberFormat="1">
      <alignment horizontal="center" readingOrder="0" vertical="bottom"/>
    </xf>
    <xf borderId="6" fillId="0" fontId="7" numFmtId="3" xfId="0" applyAlignment="1" applyBorder="1" applyFont="1" applyNumberFormat="1">
      <alignment horizontal="center" readingOrder="0"/>
    </xf>
    <xf borderId="6" fillId="0" fontId="1" numFmtId="3" xfId="0" applyAlignment="1" applyBorder="1" applyFont="1" applyNumberFormat="1">
      <alignment horizontal="right" readingOrder="0" vertical="bottom"/>
    </xf>
    <xf borderId="6" fillId="0" fontId="7" numFmtId="0" xfId="0" applyAlignment="1" applyBorder="1" applyFont="1">
      <alignment vertical="bottom"/>
    </xf>
    <xf borderId="6" fillId="0" fontId="1" numFmtId="3" xfId="0" applyAlignment="1" applyBorder="1" applyFont="1" applyNumberFormat="1">
      <alignment horizontal="right" vertical="bottom"/>
    </xf>
    <xf borderId="6" fillId="0" fontId="15" numFmtId="2" xfId="0" applyAlignment="1" applyBorder="1" applyFont="1" applyNumberFormat="1">
      <alignment horizontal="right" vertical="bottom"/>
    </xf>
    <xf borderId="6" fillId="0" fontId="1" numFmtId="3" xfId="0" applyAlignment="1" applyBorder="1" applyFont="1" applyNumberFormat="1">
      <alignment vertical="bottom"/>
    </xf>
    <xf borderId="6" fillId="0" fontId="1" numFmtId="164" xfId="0" applyAlignment="1" applyBorder="1" applyFont="1" applyNumberFormat="1">
      <alignment horizontal="right" readingOrder="0" vertical="bottom"/>
    </xf>
    <xf borderId="6" fillId="0" fontId="1" numFmtId="4" xfId="0" applyAlignment="1" applyBorder="1" applyFont="1" applyNumberFormat="1">
      <alignment horizontal="right" vertical="bottom"/>
    </xf>
    <xf borderId="6" fillId="0" fontId="1" numFmtId="4" xfId="0" applyAlignment="1" applyBorder="1" applyFont="1" applyNumberFormat="1">
      <alignment vertical="bottom"/>
    </xf>
    <xf borderId="0" fillId="2" fontId="1" numFmtId="0" xfId="0" applyAlignment="1" applyFont="1">
      <alignment vertical="bottom"/>
    </xf>
    <xf borderId="6" fillId="2" fontId="1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1" numFmtId="4" xfId="0" applyAlignment="1" applyBorder="1" applyFont="1" applyNumberFormat="1">
      <alignment horizontal="right" vertical="bottom"/>
    </xf>
    <xf borderId="20" fillId="2" fontId="1" numFmtId="0" xfId="0" applyAlignment="1" applyBorder="1" applyFont="1">
      <alignment vertical="bottom"/>
    </xf>
    <xf borderId="5" fillId="2" fontId="7" numFmtId="0" xfId="0" applyAlignment="1" applyBorder="1" applyFont="1">
      <alignment vertical="bottom"/>
    </xf>
    <xf borderId="0" fillId="2" fontId="1" numFmtId="0" xfId="0" applyAlignment="1" applyFont="1">
      <alignment horizontal="center" readingOrder="0"/>
    </xf>
    <xf borderId="6" fillId="0" fontId="21" numFmtId="0" xfId="0" applyBorder="1" applyFont="1"/>
    <xf borderId="5" fillId="2" fontId="1" numFmtId="0" xfId="0" applyAlignment="1" applyBorder="1" applyFont="1">
      <alignment vertical="bottom"/>
    </xf>
    <xf borderId="0" fillId="2" fontId="1" numFmtId="164" xfId="0" applyFont="1" applyNumberFormat="1"/>
    <xf borderId="0" fillId="2" fontId="1" numFmtId="169" xfId="0" applyAlignment="1" applyFont="1" applyNumberFormat="1">
      <alignment horizontal="center"/>
    </xf>
    <xf borderId="0" fillId="2" fontId="1" numFmtId="0" xfId="0" applyFont="1"/>
    <xf borderId="11" fillId="2" fontId="7" numFmtId="0" xfId="0" applyAlignment="1" applyBorder="1" applyFont="1">
      <alignment readingOrder="0" vertical="bottom"/>
    </xf>
    <xf borderId="20" fillId="2" fontId="1" numFmtId="169" xfId="0" applyAlignment="1" applyBorder="1" applyFont="1" applyNumberFormat="1">
      <alignment horizontal="center" readingOrder="0"/>
    </xf>
    <xf borderId="1" fillId="0" fontId="21" numFmtId="0" xfId="0" applyBorder="1" applyFont="1"/>
    <xf borderId="20" fillId="2" fontId="7" numFmtId="0" xfId="0" applyAlignment="1" applyBorder="1" applyFont="1">
      <alignment readingOrder="0" vertical="bottom"/>
    </xf>
    <xf borderId="20" fillId="2" fontId="7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20" fillId="2" fontId="7" numFmtId="0" xfId="0" applyAlignment="1" applyBorder="1" applyFont="1">
      <alignment vertical="bottom"/>
    </xf>
    <xf borderId="20" fillId="2" fontId="7" numFmtId="1" xfId="0" applyAlignment="1" applyBorder="1" applyFont="1" applyNumberFormat="1">
      <alignment horizontal="center" vertical="bottom"/>
    </xf>
    <xf borderId="0" fillId="7" fontId="13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37" numFmtId="0" xfId="0" applyAlignment="1" applyFont="1">
      <alignment shrinkToFit="0" vertical="bottom" wrapText="0"/>
    </xf>
    <xf borderId="20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18" fillId="0" fontId="1" numFmtId="0" xfId="0" applyAlignment="1" applyBorder="1" applyFont="1">
      <alignment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horizontal="right" readingOrder="0" vertical="bottom"/>
    </xf>
    <xf borderId="18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right" vertical="bottom"/>
    </xf>
    <xf borderId="17" fillId="0" fontId="1" numFmtId="0" xfId="0" applyAlignment="1" applyBorder="1" applyFont="1">
      <alignment shrinkToFit="0" vertical="bottom" wrapText="1"/>
    </xf>
    <xf borderId="20" fillId="0" fontId="1" numFmtId="2" xfId="0" applyAlignment="1" applyBorder="1" applyFont="1" applyNumberFormat="1">
      <alignment horizontal="right" vertical="bottom"/>
    </xf>
    <xf borderId="20" fillId="0" fontId="1" numFmtId="4" xfId="0" applyAlignment="1" applyBorder="1" applyFont="1" applyNumberFormat="1">
      <alignment horizontal="right" vertical="bottom"/>
    </xf>
    <xf borderId="20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1" fillId="0" fontId="8" numFmtId="170" xfId="0" applyAlignment="1" applyBorder="1" applyFont="1" applyNumberFormat="1">
      <alignment readingOrder="0" vertical="bottom"/>
    </xf>
    <xf borderId="18" fillId="0" fontId="8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8" numFmtId="4" xfId="0" applyAlignment="1" applyBorder="1" applyFont="1" applyNumberFormat="1">
      <alignment vertical="bottom"/>
    </xf>
    <xf borderId="19" fillId="0" fontId="8" numFmtId="0" xfId="0" applyAlignment="1" applyBorder="1" applyFont="1">
      <alignment vertical="bottom"/>
    </xf>
    <xf borderId="26" fillId="0" fontId="7" numFmtId="0" xfId="0" applyAlignment="1" applyBorder="1" applyFont="1">
      <alignment readingOrder="0" vertical="bottom"/>
    </xf>
    <xf borderId="14" fillId="0" fontId="1" numFmtId="0" xfId="0" applyAlignment="1" applyBorder="1" applyFont="1">
      <alignment readingOrder="0" vertical="bottom"/>
    </xf>
    <xf borderId="14" fillId="0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25" fillId="0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horizontal="right" readingOrder="0" vertical="bottom"/>
    </xf>
    <xf borderId="20" fillId="0" fontId="1" numFmtId="0" xfId="0" applyAlignment="1" applyBorder="1" applyFont="1">
      <alignment readingOrder="0" shrinkToFit="0" vertical="bottom" wrapText="0"/>
    </xf>
    <xf borderId="0" fillId="7" fontId="1" numFmtId="0" xfId="0" applyAlignment="1" applyFont="1">
      <alignment readingOrder="0" vertical="bottom"/>
    </xf>
    <xf borderId="20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vertical="bottom"/>
    </xf>
    <xf borderId="20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628650</xdr:colOff>
      <xdr:row>0</xdr:row>
      <xdr:rowOff>0</xdr:rowOff>
    </xdr:from>
    <xdr:ext cx="4953000" cy="2771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276225</xdr:rowOff>
    </xdr:from>
    <xdr:ext cx="6534150" cy="16478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9525</xdr:rowOff>
    </xdr:from>
    <xdr:ext cx="4076700" cy="13620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66675</xdr:rowOff>
    </xdr:from>
    <xdr:ext cx="5857875" cy="13620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17.38"/>
    <col customWidth="1" min="5" max="5" width="24.5"/>
    <col customWidth="1" min="6" max="6" width="20.88"/>
  </cols>
  <sheetData>
    <row r="1">
      <c r="A1" s="1"/>
      <c r="B1" s="2">
        <v>2021.0</v>
      </c>
      <c r="C1" s="3">
        <v>2022.0</v>
      </c>
      <c r="D1" s="3">
        <v>2023.0</v>
      </c>
      <c r="E1" s="4" t="s">
        <v>0</v>
      </c>
      <c r="F1" s="5" t="s">
        <v>1</v>
      </c>
    </row>
    <row r="2">
      <c r="A2" s="6" t="s">
        <v>2</v>
      </c>
      <c r="B2" s="7" t="s">
        <v>3</v>
      </c>
      <c r="C2" s="7" t="s">
        <v>3</v>
      </c>
      <c r="D2" s="7" t="s">
        <v>3</v>
      </c>
      <c r="E2" s="7" t="s">
        <v>3</v>
      </c>
      <c r="F2" s="8" t="s">
        <v>3</v>
      </c>
    </row>
    <row r="3">
      <c r="A3" s="9" t="s">
        <v>4</v>
      </c>
      <c r="B3" s="10">
        <f>'Question 5 Bilan'!J18+'Question 5 Bilan'!J27</f>
        <v>1379976</v>
      </c>
      <c r="C3" s="10">
        <f>'Question 5 Bilan'!I18+'Question 5 Bilan'!I27</f>
        <v>1325841</v>
      </c>
      <c r="D3" s="10">
        <f>'Question 5 Bilan'!H18+'Question 5 Bilan'!H27</f>
        <v>1194962</v>
      </c>
      <c r="E3" s="11">
        <f t="shared" ref="E3:F3" si="1">(C3-B3)/B3</f>
        <v>-0.03922894311</v>
      </c>
      <c r="F3" s="12">
        <f t="shared" si="1"/>
        <v>-0.09871394835</v>
      </c>
    </row>
    <row r="4">
      <c r="A4" s="9" t="s">
        <v>5</v>
      </c>
      <c r="B4" s="10">
        <f>'Question 5 Bilan'!F24</f>
        <v>1203175</v>
      </c>
      <c r="C4" s="10">
        <f>'Question 5 Bilan'!E24</f>
        <v>1014261</v>
      </c>
      <c r="D4" s="10">
        <f>'Question 5 Bilan'!D24</f>
        <v>989066</v>
      </c>
      <c r="E4" s="11">
        <f t="shared" ref="E4:F4" si="2">(C4-B4)/B4</f>
        <v>-0.1570129034</v>
      </c>
      <c r="F4" s="12">
        <f t="shared" si="2"/>
        <v>-0.02484074612</v>
      </c>
    </row>
    <row r="5">
      <c r="A5" s="6" t="s">
        <v>6</v>
      </c>
      <c r="B5" s="10">
        <f t="shared" ref="B5:D5" si="3">B3-B4</f>
        <v>176801</v>
      </c>
      <c r="C5" s="10">
        <f t="shared" si="3"/>
        <v>311580</v>
      </c>
      <c r="D5" s="10">
        <f t="shared" si="3"/>
        <v>205896</v>
      </c>
      <c r="E5" s="11">
        <f t="shared" ref="E5:F5" si="4">(C5-B5)/B5</f>
        <v>0.7623203489</v>
      </c>
      <c r="F5" s="12">
        <f t="shared" si="4"/>
        <v>-0.3391873676</v>
      </c>
    </row>
    <row r="6">
      <c r="A6" s="13" t="s">
        <v>3</v>
      </c>
      <c r="B6" s="14"/>
      <c r="C6" s="14"/>
      <c r="D6" s="14"/>
      <c r="E6" s="15"/>
      <c r="F6" s="16"/>
    </row>
    <row r="7">
      <c r="A7" s="6" t="s">
        <v>7</v>
      </c>
      <c r="B7" s="7"/>
      <c r="C7" s="7"/>
      <c r="D7" s="7"/>
      <c r="E7" s="17"/>
      <c r="F7" s="18"/>
    </row>
    <row r="8">
      <c r="A8" s="9" t="s">
        <v>8</v>
      </c>
      <c r="B8" s="10">
        <f>'Question 5 Bilan'!F37-'Question 5 Bilan'!F36</f>
        <v>1009011</v>
      </c>
      <c r="C8" s="10">
        <f>'Question 5 Bilan'!E37-'Question 5 Bilan'!E36</f>
        <v>977309</v>
      </c>
      <c r="D8" s="10">
        <f>'Question 5 Bilan'!D37-'Question 5 Bilan'!D36</f>
        <v>993787</v>
      </c>
      <c r="E8" s="19">
        <f t="shared" ref="E8:F8" si="5">(C8-B8)/B8</f>
        <v>-0.03141888443</v>
      </c>
      <c r="F8" s="12">
        <f t="shared" si="5"/>
        <v>0.0168605835</v>
      </c>
    </row>
    <row r="9">
      <c r="A9" s="9" t="s">
        <v>9</v>
      </c>
      <c r="B9" s="10">
        <f>'Question 5 Bilan'!J35</f>
        <v>837104</v>
      </c>
      <c r="C9" s="10">
        <f>'Question 5 Bilan'!I35</f>
        <v>786993</v>
      </c>
      <c r="D9" s="10">
        <f>'Question 5 Bilan'!H35</f>
        <v>796898</v>
      </c>
      <c r="E9" s="19">
        <f t="shared" ref="E9:F9" si="6">(C9-B9)/B9</f>
        <v>-0.05986233491</v>
      </c>
      <c r="F9" s="12">
        <f t="shared" si="6"/>
        <v>0.01258588069</v>
      </c>
    </row>
    <row r="10">
      <c r="A10" s="6" t="s">
        <v>10</v>
      </c>
      <c r="B10" s="10">
        <f t="shared" ref="B10:D10" si="7">B8-B9</f>
        <v>171907</v>
      </c>
      <c r="C10" s="10">
        <f t="shared" si="7"/>
        <v>190316</v>
      </c>
      <c r="D10" s="10">
        <f t="shared" si="7"/>
        <v>196889</v>
      </c>
      <c r="E10" s="19">
        <f t="shared" ref="E10:F10" si="8">(C10-B10)/B10</f>
        <v>0.1070869714</v>
      </c>
      <c r="F10" s="12">
        <f t="shared" si="8"/>
        <v>0.03453729587</v>
      </c>
    </row>
    <row r="11">
      <c r="A11" s="13" t="s">
        <v>3</v>
      </c>
      <c r="B11" s="14"/>
      <c r="C11" s="14"/>
      <c r="D11" s="14"/>
      <c r="E11" s="15"/>
      <c r="F11" s="16"/>
    </row>
    <row r="12">
      <c r="A12" s="6" t="s">
        <v>11</v>
      </c>
      <c r="B12" s="7"/>
      <c r="C12" s="7"/>
      <c r="D12" s="7"/>
      <c r="E12" s="17"/>
      <c r="F12" s="18"/>
    </row>
    <row r="13">
      <c r="A13" s="20" t="s">
        <v>12</v>
      </c>
      <c r="B13" s="10">
        <f t="shared" ref="B13:D13" si="9">B5</f>
        <v>176801</v>
      </c>
      <c r="C13" s="10">
        <f t="shared" si="9"/>
        <v>311580</v>
      </c>
      <c r="D13" s="10">
        <f t="shared" si="9"/>
        <v>205896</v>
      </c>
      <c r="E13" s="19">
        <f t="shared" ref="E13:F13" si="10">(C13-B13)/B13</f>
        <v>0.7623203489</v>
      </c>
      <c r="F13" s="12">
        <f t="shared" si="10"/>
        <v>-0.3391873676</v>
      </c>
    </row>
    <row r="14">
      <c r="A14" s="20" t="s">
        <v>13</v>
      </c>
      <c r="B14" s="10">
        <f t="shared" ref="B14:D14" si="11">B10</f>
        <v>171907</v>
      </c>
      <c r="C14" s="10">
        <f t="shared" si="11"/>
        <v>190316</v>
      </c>
      <c r="D14" s="10">
        <f t="shared" si="11"/>
        <v>196889</v>
      </c>
      <c r="E14" s="19">
        <f t="shared" ref="E14:F14" si="12">(C14-B14)/B14</f>
        <v>0.1070869714</v>
      </c>
      <c r="F14" s="12">
        <f t="shared" si="12"/>
        <v>0.03453729587</v>
      </c>
    </row>
    <row r="15">
      <c r="A15" s="21" t="s">
        <v>14</v>
      </c>
      <c r="B15" s="22">
        <f t="shared" ref="B15:D15" si="13">B13-B14</f>
        <v>4894</v>
      </c>
      <c r="C15" s="22">
        <f t="shared" si="13"/>
        <v>121264</v>
      </c>
      <c r="D15" s="22">
        <f t="shared" si="13"/>
        <v>9007</v>
      </c>
      <c r="E15" s="19">
        <f t="shared" ref="E15:F15" si="14">(C15-B15)/B15</f>
        <v>23.77809563</v>
      </c>
      <c r="F15" s="12">
        <f t="shared" si="14"/>
        <v>-0.9257240401</v>
      </c>
    </row>
    <row r="16">
      <c r="A16" s="23"/>
      <c r="B16" s="24"/>
      <c r="C16" s="24"/>
      <c r="D16" s="24"/>
      <c r="E16" s="25"/>
      <c r="F16" s="26"/>
    </row>
    <row r="17">
      <c r="A17" s="27" t="s">
        <v>15</v>
      </c>
      <c r="B17" s="28"/>
      <c r="C17" s="29"/>
      <c r="D17" s="29"/>
      <c r="E17" s="30"/>
      <c r="F17" s="31"/>
      <c r="G17" s="32"/>
    </row>
    <row r="18">
      <c r="A18" s="33" t="s">
        <v>16</v>
      </c>
      <c r="B18" s="34">
        <v>27808.0</v>
      </c>
      <c r="C18" s="34">
        <v>27227.0</v>
      </c>
      <c r="D18" s="34">
        <v>24717.0</v>
      </c>
      <c r="E18" s="35">
        <f t="shared" ref="E18:F18" si="15">(C18-B18)/B18</f>
        <v>-0.02089326812</v>
      </c>
      <c r="F18" s="35">
        <f t="shared" si="15"/>
        <v>-0.09218790172</v>
      </c>
      <c r="G18" s="32"/>
    </row>
    <row r="19">
      <c r="A19" s="36"/>
      <c r="B19" s="37"/>
      <c r="C19" s="37"/>
      <c r="D19" s="37"/>
      <c r="E19" s="35"/>
      <c r="F19" s="35"/>
      <c r="G19" s="32"/>
    </row>
    <row r="20">
      <c r="A20" s="38" t="s">
        <v>17</v>
      </c>
      <c r="B20" s="39"/>
      <c r="C20" s="39"/>
      <c r="D20" s="39"/>
      <c r="E20" s="35"/>
      <c r="F20" s="35"/>
      <c r="G20" s="32"/>
    </row>
    <row r="21">
      <c r="A21" s="40" t="s">
        <v>18</v>
      </c>
      <c r="B21" s="34">
        <v>1261.0</v>
      </c>
      <c r="C21" s="41">
        <v>-281.0</v>
      </c>
      <c r="D21" s="41">
        <v>-1737.0</v>
      </c>
      <c r="E21" s="35">
        <f t="shared" ref="E21:F21" si="16">(C21-B21)/B21</f>
        <v>-1.222839017</v>
      </c>
      <c r="F21" s="35">
        <f t="shared" si="16"/>
        <v>5.181494662</v>
      </c>
      <c r="G21" s="32"/>
    </row>
    <row r="22">
      <c r="A22" s="42" t="s">
        <v>19</v>
      </c>
      <c r="B22" s="41">
        <v>0.0</v>
      </c>
      <c r="C22" s="41">
        <v>1540.0</v>
      </c>
      <c r="D22" s="41">
        <v>2082.0</v>
      </c>
      <c r="E22" s="35"/>
      <c r="F22" s="35">
        <f>(D22-C22)/C22</f>
        <v>0.3519480519</v>
      </c>
      <c r="G22" s="32"/>
    </row>
    <row r="23">
      <c r="A23" s="42" t="s">
        <v>20</v>
      </c>
      <c r="B23" s="34">
        <v>1291.0</v>
      </c>
      <c r="C23" s="41">
        <v>-376.0</v>
      </c>
      <c r="D23" s="41">
        <v>3751.0</v>
      </c>
      <c r="E23" s="35">
        <f t="shared" ref="E23:F23" si="17">(C23-B23)/B23</f>
        <v>-1.291247095</v>
      </c>
      <c r="F23" s="35">
        <f t="shared" si="17"/>
        <v>-10.97606383</v>
      </c>
      <c r="G23" s="32"/>
    </row>
    <row r="24">
      <c r="A24" s="36"/>
      <c r="B24" s="37"/>
      <c r="C24" s="37"/>
      <c r="D24" s="37"/>
      <c r="E24" s="35"/>
      <c r="F24" s="35"/>
      <c r="G24" s="32"/>
    </row>
    <row r="25">
      <c r="A25" s="43" t="s">
        <v>21</v>
      </c>
      <c r="B25" s="44">
        <f t="shared" ref="B25:D25" si="18">B18+B21+B22+B23</f>
        <v>30360</v>
      </c>
      <c r="C25" s="44">
        <f t="shared" si="18"/>
        <v>28110</v>
      </c>
      <c r="D25" s="44">
        <f t="shared" si="18"/>
        <v>28813</v>
      </c>
      <c r="E25" s="35">
        <f t="shared" ref="E25:F25" si="19">(C25-B25)/B25</f>
        <v>-0.07411067194</v>
      </c>
      <c r="F25" s="35">
        <f t="shared" si="19"/>
        <v>0.02500889363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35.13"/>
    <col customWidth="1" min="3" max="3" width="27.0"/>
    <col customWidth="1" min="4" max="4" width="28.75"/>
    <col customWidth="1" min="6" max="6" width="62.13"/>
    <col customWidth="1" min="10" max="10" width="22.5"/>
  </cols>
  <sheetData>
    <row r="1">
      <c r="A1" s="45"/>
      <c r="B1" s="46">
        <v>2021.0</v>
      </c>
      <c r="C1" s="46">
        <v>2022.0</v>
      </c>
      <c r="D1" s="47">
        <v>2023.0</v>
      </c>
      <c r="E1" s="48"/>
      <c r="F1" s="48"/>
      <c r="G1" s="48"/>
      <c r="H1" s="48"/>
      <c r="I1" s="48"/>
      <c r="J1" s="48"/>
      <c r="K1" s="45"/>
      <c r="L1" s="45"/>
      <c r="M1" s="45"/>
      <c r="N1" s="45"/>
    </row>
    <row r="2">
      <c r="A2" s="49" t="s">
        <v>22</v>
      </c>
      <c r="B2" s="50">
        <v>57121.0</v>
      </c>
      <c r="C2" s="50">
        <v>35429.0</v>
      </c>
      <c r="D2" s="50">
        <v>14488.0</v>
      </c>
      <c r="E2" s="48"/>
      <c r="F2" s="51" t="s">
        <v>23</v>
      </c>
      <c r="G2" s="48"/>
      <c r="H2" s="48"/>
      <c r="I2" s="48"/>
      <c r="J2" s="48"/>
      <c r="K2" s="45"/>
      <c r="L2" s="45"/>
      <c r="M2" s="45"/>
      <c r="N2" s="45"/>
    </row>
    <row r="3">
      <c r="A3" s="52" t="s">
        <v>24</v>
      </c>
      <c r="B3" s="53">
        <f>'Question 5 Bilan'!F40</f>
        <v>2217080</v>
      </c>
      <c r="C3" s="53">
        <f>'Question 5 Bilan'!E40</f>
        <v>2112834</v>
      </c>
      <c r="D3" s="53">
        <f>'Question 5 Bilan'!D40</f>
        <v>1991860</v>
      </c>
      <c r="E3" s="48"/>
      <c r="F3" s="54"/>
      <c r="G3" s="54"/>
      <c r="H3" s="54"/>
      <c r="I3" s="54"/>
      <c r="J3" s="54"/>
      <c r="K3" s="45"/>
      <c r="L3" s="45"/>
      <c r="M3" s="45"/>
      <c r="N3" s="45"/>
    </row>
    <row r="4">
      <c r="A4" s="49" t="s">
        <v>25</v>
      </c>
      <c r="B4" s="53">
        <f>'Question 5 Bilan'!J18</f>
        <v>739784</v>
      </c>
      <c r="C4" s="53">
        <f>'Question 5 Bilan'!I18</f>
        <v>852406</v>
      </c>
      <c r="D4" s="53">
        <f>'Question 5 Bilan'!H18</f>
        <v>774456</v>
      </c>
      <c r="E4" s="48"/>
      <c r="F4" s="55"/>
      <c r="G4" s="56"/>
      <c r="H4" s="57"/>
      <c r="I4" s="57"/>
      <c r="J4" s="55"/>
      <c r="K4" s="48"/>
      <c r="L4" s="45"/>
      <c r="M4" s="45"/>
      <c r="N4" s="45"/>
    </row>
    <row r="5">
      <c r="A5" s="49" t="s">
        <v>26</v>
      </c>
      <c r="B5" s="50">
        <v>2163616.0</v>
      </c>
      <c r="C5" s="50">
        <v>2202613.0</v>
      </c>
      <c r="D5" s="50">
        <v>2406221.0</v>
      </c>
      <c r="E5" s="45"/>
      <c r="F5" s="48"/>
      <c r="G5" s="54"/>
      <c r="H5" s="54"/>
      <c r="I5" s="54"/>
      <c r="J5" s="54"/>
      <c r="K5" s="54"/>
      <c r="L5" s="45"/>
      <c r="M5" s="45"/>
      <c r="N5" s="45"/>
    </row>
    <row r="6">
      <c r="A6" s="54" t="s">
        <v>27</v>
      </c>
      <c r="B6" s="53">
        <f t="shared" ref="B6:D6" si="1">1.2*B5</f>
        <v>2596339.2</v>
      </c>
      <c r="C6" s="53">
        <f t="shared" si="1"/>
        <v>2643135.6</v>
      </c>
      <c r="D6" s="53">
        <f t="shared" si="1"/>
        <v>2887465.2</v>
      </c>
      <c r="E6" s="45"/>
      <c r="F6" s="48"/>
      <c r="G6" s="55"/>
      <c r="H6" s="48"/>
      <c r="I6" s="58"/>
      <c r="J6" s="58"/>
      <c r="K6" s="55"/>
      <c r="L6" s="45"/>
      <c r="M6" s="45"/>
      <c r="N6" s="45"/>
    </row>
    <row r="7">
      <c r="A7" s="54" t="s">
        <v>28</v>
      </c>
      <c r="B7" s="50">
        <v>311982.0</v>
      </c>
      <c r="C7" s="50">
        <v>343422.0</v>
      </c>
      <c r="D7" s="50">
        <v>305044.0</v>
      </c>
      <c r="E7" s="45"/>
      <c r="F7" s="54"/>
      <c r="G7" s="54"/>
      <c r="H7" s="54"/>
      <c r="I7" s="54"/>
      <c r="J7" s="54"/>
      <c r="K7" s="45"/>
      <c r="L7" s="45"/>
      <c r="M7" s="45"/>
      <c r="N7" s="45"/>
    </row>
    <row r="8">
      <c r="A8" s="54" t="s">
        <v>29</v>
      </c>
      <c r="B8" s="50">
        <v>360.0</v>
      </c>
      <c r="C8" s="50">
        <v>360.0</v>
      </c>
      <c r="D8" s="50">
        <v>360.0</v>
      </c>
      <c r="E8" s="45"/>
      <c r="F8" s="59"/>
      <c r="G8" s="60"/>
      <c r="H8" s="61"/>
      <c r="I8" s="61"/>
      <c r="J8" s="59"/>
      <c r="K8" s="45"/>
      <c r="L8" s="45"/>
      <c r="M8" s="45"/>
      <c r="N8" s="45"/>
    </row>
    <row r="9">
      <c r="A9" s="54" t="s">
        <v>30</v>
      </c>
      <c r="B9" s="50">
        <v>677057.0</v>
      </c>
      <c r="C9" s="50">
        <v>618296.0</v>
      </c>
      <c r="D9" s="50">
        <v>668080.0</v>
      </c>
      <c r="E9" s="45"/>
      <c r="F9" s="45"/>
      <c r="G9" s="45"/>
      <c r="H9" s="45"/>
      <c r="I9" s="45"/>
      <c r="J9" s="45"/>
      <c r="K9" s="45"/>
      <c r="L9" s="45"/>
      <c r="M9" s="45"/>
      <c r="N9" s="45"/>
    </row>
    <row r="10">
      <c r="A10" s="54" t="s">
        <v>31</v>
      </c>
      <c r="B10" s="50">
        <v>-1127709.0</v>
      </c>
      <c r="C10" s="50">
        <v>-1217888.0</v>
      </c>
      <c r="D10" s="50">
        <v>-1304793.0</v>
      </c>
      <c r="E10" s="62" t="s">
        <v>32</v>
      </c>
      <c r="F10" s="63" t="s">
        <v>33</v>
      </c>
      <c r="G10" s="45"/>
      <c r="H10" s="45"/>
      <c r="I10" s="45"/>
      <c r="J10" s="45"/>
      <c r="K10" s="45"/>
      <c r="L10" s="45"/>
      <c r="M10" s="45"/>
      <c r="N10" s="45"/>
    </row>
    <row r="11">
      <c r="A11" s="54" t="s">
        <v>34</v>
      </c>
      <c r="B11" s="53">
        <f t="shared" ref="B11:D11" si="2">B9-B10</f>
        <v>1804766</v>
      </c>
      <c r="C11" s="53">
        <f t="shared" si="2"/>
        <v>1836184</v>
      </c>
      <c r="D11" s="53">
        <f t="shared" si="2"/>
        <v>1972873</v>
      </c>
      <c r="E11" s="45"/>
      <c r="F11" s="63"/>
      <c r="G11" s="45"/>
      <c r="H11" s="45"/>
      <c r="I11" s="45"/>
      <c r="J11" s="45"/>
      <c r="K11" s="45"/>
      <c r="L11" s="45"/>
      <c r="M11" s="45"/>
      <c r="N11" s="45"/>
    </row>
    <row r="12">
      <c r="A12" s="54" t="s">
        <v>35</v>
      </c>
      <c r="B12" s="53">
        <f t="shared" ref="B12:D12" si="3">1.2*B11</f>
        <v>2165719.2</v>
      </c>
      <c r="C12" s="53">
        <f t="shared" si="3"/>
        <v>2203420.8</v>
      </c>
      <c r="D12" s="53">
        <f t="shared" si="3"/>
        <v>2367447.6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>
      <c r="A13" s="54" t="s">
        <v>36</v>
      </c>
      <c r="B13" s="50">
        <v>653555.0</v>
      </c>
      <c r="C13" s="50">
        <v>690571.0</v>
      </c>
      <c r="D13" s="50">
        <v>687143.0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>
      <c r="A14" s="54" t="s">
        <v>37</v>
      </c>
      <c r="B14" s="50">
        <v>441883.0</v>
      </c>
      <c r="C14" s="50">
        <v>491469.0</v>
      </c>
      <c r="D14" s="50">
        <v>536626.0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>
      <c r="A15" s="54" t="s">
        <v>38</v>
      </c>
      <c r="B15" s="50">
        <f t="shared" ref="B15:D15" si="4">1.2*B14</f>
        <v>530259.6</v>
      </c>
      <c r="C15" s="50">
        <f t="shared" si="4"/>
        <v>589762.8</v>
      </c>
      <c r="D15" s="50">
        <f t="shared" si="4"/>
        <v>643951.2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>
      <c r="A16" s="54" t="s">
        <v>39</v>
      </c>
      <c r="B16" s="50">
        <v>120230.0</v>
      </c>
      <c r="C16" s="50">
        <v>113574.0</v>
      </c>
      <c r="D16" s="50">
        <v>87708.0</v>
      </c>
      <c r="E16" s="45"/>
      <c r="F16" s="63"/>
      <c r="G16" s="45"/>
      <c r="H16" s="45"/>
      <c r="I16" s="45"/>
      <c r="J16" s="45"/>
      <c r="K16" s="45"/>
      <c r="L16" s="45"/>
      <c r="M16" s="45"/>
      <c r="N16" s="45"/>
    </row>
    <row r="17">
      <c r="A17" s="54" t="s">
        <v>40</v>
      </c>
      <c r="B17" s="50">
        <v>10893.0</v>
      </c>
      <c r="C17" s="64">
        <v>39987.0</v>
      </c>
      <c r="D17" s="50">
        <v>18460.0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>
      <c r="A18" s="54" t="s">
        <v>41</v>
      </c>
      <c r="B18" s="50">
        <v>477361.0</v>
      </c>
      <c r="C18" s="50">
        <v>478105.0</v>
      </c>
      <c r="D18" s="50">
        <v>512374.0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>
      <c r="A19" s="54" t="s">
        <v>42</v>
      </c>
      <c r="B19" s="50">
        <v>-2031.0</v>
      </c>
      <c r="C19" s="50">
        <v>-2120.0</v>
      </c>
      <c r="D19" s="50">
        <v>-1462.0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>
      <c r="A20" s="52" t="s">
        <v>43</v>
      </c>
      <c r="B20" s="65">
        <v>1203175.0</v>
      </c>
      <c r="C20" s="66">
        <v>1014261.0</v>
      </c>
      <c r="D20" s="66">
        <v>989066.0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>
      <c r="A21" s="52" t="s">
        <v>44</v>
      </c>
      <c r="B21" s="66">
        <v>496268.0</v>
      </c>
      <c r="C21" s="66">
        <v>338125.0</v>
      </c>
      <c r="D21" s="66">
        <v>296947.0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>
      <c r="A22" s="52" t="s">
        <v>45</v>
      </c>
      <c r="B22" s="66">
        <v>4634.0</v>
      </c>
      <c r="C22" s="66">
        <v>121104.0</v>
      </c>
      <c r="D22" s="66">
        <v>8988.0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>
      <c r="A23" s="52" t="s">
        <v>46</v>
      </c>
      <c r="B23" s="66">
        <v>2097.0</v>
      </c>
      <c r="C23" s="66">
        <v>3016.0</v>
      </c>
      <c r="D23" s="66">
        <v>4634.0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>
      <c r="A24" s="54"/>
      <c r="B24" s="58"/>
      <c r="C24" s="58"/>
      <c r="D24" s="58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>
      <c r="A25" s="54" t="s">
        <v>47</v>
      </c>
      <c r="B25" s="58">
        <f t="shared" ref="B25:D25" si="5">B19/B20</f>
        <v>-0.001688033744</v>
      </c>
      <c r="C25" s="58">
        <f t="shared" si="5"/>
        <v>-0.002090191775</v>
      </c>
      <c r="D25" s="58">
        <f t="shared" si="5"/>
        <v>-0.001478162226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>
      <c r="A26" s="52"/>
      <c r="B26" s="53"/>
      <c r="C26" s="53"/>
      <c r="D26" s="53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>
      <c r="A27" s="45"/>
      <c r="B27" s="67"/>
      <c r="C27" s="67"/>
      <c r="D27" s="67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>
      <c r="A28" s="52" t="s">
        <v>48</v>
      </c>
      <c r="B28" s="58">
        <f t="shared" ref="B28:D28" si="6">B2/B3</f>
        <v>0.02576406805</v>
      </c>
      <c r="C28" s="58">
        <f t="shared" si="6"/>
        <v>0.01676847306</v>
      </c>
      <c r="D28" s="58">
        <f t="shared" si="6"/>
        <v>0.007273603567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>
      <c r="A29" s="52" t="s">
        <v>49</v>
      </c>
      <c r="B29" s="58">
        <f t="shared" ref="B29:D29" si="7">B2/B4</f>
        <v>0.07721307841</v>
      </c>
      <c r="C29" s="58">
        <f t="shared" si="7"/>
        <v>0.04156352724</v>
      </c>
      <c r="D29" s="58">
        <f t="shared" si="7"/>
        <v>0.01870732488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>
      <c r="A30" s="52" t="s">
        <v>50</v>
      </c>
      <c r="B30" s="58">
        <f t="shared" ref="B30:D30" si="8">B2/B5</f>
        <v>0.02640071066</v>
      </c>
      <c r="C30" s="58">
        <f t="shared" si="8"/>
        <v>0.01608498633</v>
      </c>
      <c r="D30" s="58">
        <f t="shared" si="8"/>
        <v>0.006021059578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>
      <c r="A31" s="45"/>
      <c r="B31" s="67"/>
      <c r="C31" s="67"/>
      <c r="D31" s="67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>
      <c r="A32" s="54" t="s">
        <v>51</v>
      </c>
      <c r="B32" s="53">
        <f t="shared" ref="B32:D32" si="9">(B7*B8)/B6</f>
        <v>43.25841554</v>
      </c>
      <c r="C32" s="53">
        <f t="shared" si="9"/>
        <v>46.77471712</v>
      </c>
      <c r="D32" s="53">
        <f t="shared" si="9"/>
        <v>38.0319181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>
      <c r="A33" s="54" t="s">
        <v>52</v>
      </c>
      <c r="B33" s="53">
        <f t="shared" ref="B33:D33" si="10">(B9*B8)/B12</f>
        <v>112.5448396</v>
      </c>
      <c r="C33" s="53">
        <f t="shared" si="10"/>
        <v>101.0186343</v>
      </c>
      <c r="D33" s="53">
        <f t="shared" si="10"/>
        <v>101.5899148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>
      <c r="A34" s="54" t="s">
        <v>53</v>
      </c>
      <c r="B34" s="53">
        <f t="shared" ref="B34:D34" si="11">(B13*B8)/(B12+B15)</f>
        <v>87.27064174</v>
      </c>
      <c r="C34" s="53">
        <f t="shared" si="11"/>
        <v>89.00437479</v>
      </c>
      <c r="D34" s="53">
        <f t="shared" si="11"/>
        <v>82.1450417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>
      <c r="A35" s="45"/>
      <c r="B35" s="67"/>
      <c r="C35" s="67"/>
      <c r="D35" s="67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>
      <c r="A36" s="52" t="s">
        <v>54</v>
      </c>
      <c r="B36" s="68">
        <v>42923.0</v>
      </c>
      <c r="C36" s="68">
        <v>44373.0</v>
      </c>
      <c r="D36" s="68">
        <v>43502.0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>
      <c r="A37" s="54" t="s">
        <v>55</v>
      </c>
      <c r="B37" s="58">
        <f t="shared" ref="B37:D37" si="12">B36/B5</f>
        <v>0.01983854806</v>
      </c>
      <c r="C37" s="58">
        <f t="shared" si="12"/>
        <v>0.02014561795</v>
      </c>
      <c r="D37" s="58">
        <f t="shared" si="12"/>
        <v>0.01807897113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>
      <c r="A38" s="54" t="s">
        <v>56</v>
      </c>
      <c r="B38" s="69">
        <f>8822-10853</f>
        <v>-2031</v>
      </c>
      <c r="C38" s="70">
        <v>-2121.0</v>
      </c>
      <c r="D38" s="50">
        <v>-1462.0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>
      <c r="A39" s="45"/>
      <c r="B39" s="67"/>
      <c r="C39" s="67"/>
      <c r="D39" s="67"/>
      <c r="E39" s="45"/>
      <c r="F39" s="71"/>
      <c r="G39" s="45"/>
      <c r="H39" s="45"/>
      <c r="I39" s="45"/>
      <c r="J39" s="45"/>
      <c r="K39" s="45"/>
      <c r="L39" s="45"/>
      <c r="M39" s="45"/>
      <c r="N39" s="45"/>
    </row>
    <row r="40">
      <c r="A40" s="52" t="s">
        <v>57</v>
      </c>
      <c r="B40" s="72">
        <f>618529</f>
        <v>618529</v>
      </c>
      <c r="C40" s="73">
        <v>623720.0</v>
      </c>
      <c r="D40" s="74">
        <v>614674.0</v>
      </c>
      <c r="E40" s="45"/>
      <c r="F40" s="54"/>
      <c r="G40" s="54"/>
      <c r="H40" s="54"/>
      <c r="I40" s="54"/>
      <c r="J40" s="75"/>
      <c r="K40" s="45"/>
      <c r="L40" s="45"/>
      <c r="M40" s="45"/>
      <c r="N40" s="45"/>
    </row>
    <row r="41">
      <c r="A41" s="54" t="s">
        <v>58</v>
      </c>
      <c r="B41" s="53">
        <f t="shared" ref="B41:D41" si="13">B2/B5</f>
        <v>0.02640071066</v>
      </c>
      <c r="C41" s="53">
        <f t="shared" si="13"/>
        <v>0.01608498633</v>
      </c>
      <c r="D41" s="53">
        <f t="shared" si="13"/>
        <v>0.006021059578</v>
      </c>
      <c r="E41" s="45"/>
      <c r="F41" s="54"/>
      <c r="G41" s="54"/>
      <c r="H41" s="54"/>
      <c r="I41" s="54"/>
      <c r="J41" s="75"/>
      <c r="K41" s="45"/>
      <c r="L41" s="45"/>
      <c r="M41" s="45"/>
      <c r="N41" s="45"/>
    </row>
    <row r="42">
      <c r="A42" s="54" t="s">
        <v>59</v>
      </c>
      <c r="B42" s="53">
        <f t="shared" ref="B42:D42" si="14">B5/B40</f>
        <v>3.498002519</v>
      </c>
      <c r="C42" s="53">
        <f t="shared" si="14"/>
        <v>3.531413134</v>
      </c>
      <c r="D42" s="53">
        <f t="shared" si="14"/>
        <v>3.914629543</v>
      </c>
      <c r="E42" s="45"/>
      <c r="F42" s="59"/>
      <c r="G42" s="60"/>
      <c r="H42" s="58"/>
      <c r="I42" s="58"/>
      <c r="J42" s="59"/>
      <c r="K42" s="45"/>
      <c r="L42" s="45"/>
      <c r="M42" s="45"/>
      <c r="N42" s="45"/>
    </row>
    <row r="43">
      <c r="A43" s="54" t="s">
        <v>60</v>
      </c>
      <c r="B43" s="53">
        <f t="shared" ref="B43:D43" si="15">B29/B28</f>
        <v>2.996928833</v>
      </c>
      <c r="C43" s="53">
        <f t="shared" si="15"/>
        <v>2.478670962</v>
      </c>
      <c r="D43" s="53">
        <f t="shared" si="15"/>
        <v>2.571947277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>
      <c r="A44" s="45"/>
      <c r="B44" s="67"/>
      <c r="C44" s="67"/>
      <c r="D44" s="67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>
      <c r="A45" s="52" t="s">
        <v>61</v>
      </c>
      <c r="B45" s="53">
        <f t="shared" ref="B45:D45" si="16">B3</f>
        <v>2217080</v>
      </c>
      <c r="C45" s="53">
        <f t="shared" si="16"/>
        <v>2112834</v>
      </c>
      <c r="D45" s="53">
        <f t="shared" si="16"/>
        <v>1991860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>
      <c r="A46" s="52" t="s">
        <v>62</v>
      </c>
      <c r="B46" s="76">
        <v>0.061</v>
      </c>
      <c r="C46" s="77">
        <v>0.065</v>
      </c>
      <c r="D46" s="76">
        <v>0.07</v>
      </c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>
      <c r="A47" s="54" t="s">
        <v>63</v>
      </c>
      <c r="B47" s="53">
        <f t="shared" ref="B47:D47" si="17">B28</f>
        <v>0.02576406805</v>
      </c>
      <c r="C47" s="53">
        <f t="shared" si="17"/>
        <v>0.01676847306</v>
      </c>
      <c r="D47" s="53">
        <f t="shared" si="17"/>
        <v>0.007273603567</v>
      </c>
      <c r="E47" s="45"/>
      <c r="F47" s="63"/>
      <c r="G47" s="45"/>
      <c r="H47" s="45"/>
      <c r="I47" s="45"/>
      <c r="J47" s="45"/>
      <c r="K47" s="45"/>
      <c r="L47" s="45"/>
      <c r="M47" s="45"/>
      <c r="N47" s="45"/>
    </row>
    <row r="48">
      <c r="A48" s="54" t="s">
        <v>64</v>
      </c>
      <c r="B48" s="53">
        <f t="shared" ref="B48:D48" si="18">B3*(B47-B46)</f>
        <v>-78120.88</v>
      </c>
      <c r="C48" s="53">
        <f t="shared" si="18"/>
        <v>-101905.21</v>
      </c>
      <c r="D48" s="53">
        <f t="shared" si="18"/>
        <v>-124942.2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>
      <c r="A49" s="45"/>
      <c r="B49" s="67"/>
      <c r="C49" s="67"/>
      <c r="D49" s="67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>
      <c r="A50" s="52" t="s">
        <v>65</v>
      </c>
      <c r="B50" s="78">
        <v>690130.0</v>
      </c>
      <c r="C50" s="78">
        <v>507720.0</v>
      </c>
      <c r="D50" s="78">
        <v>362190.0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>
      <c r="A51" s="45"/>
      <c r="B51" s="67"/>
      <c r="C51" s="67"/>
      <c r="D51" s="67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>
      <c r="A52" s="52" t="s">
        <v>66</v>
      </c>
      <c r="B52" s="78">
        <v>735880.0</v>
      </c>
      <c r="C52" s="78">
        <v>489435.0</v>
      </c>
      <c r="D52" s="78">
        <v>445009.0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>
      <c r="A53" s="45"/>
      <c r="B53" s="67"/>
      <c r="C53" s="67"/>
      <c r="D53" s="67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>
      <c r="A54" s="54" t="s">
        <v>67</v>
      </c>
      <c r="B54" s="53">
        <f t="shared" ref="B54:D54" si="19">B50+B52-B45</f>
        <v>-791070</v>
      </c>
      <c r="C54" s="53">
        <f t="shared" si="19"/>
        <v>-1115679</v>
      </c>
      <c r="D54" s="53">
        <f t="shared" si="19"/>
        <v>-1184661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>
      <c r="A55" s="45"/>
      <c r="B55" s="67"/>
      <c r="C55" s="67"/>
      <c r="D55" s="67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>
      <c r="B56" s="79"/>
      <c r="C56" s="79"/>
      <c r="D56" s="79"/>
    </row>
    <row r="57">
      <c r="B57" s="79"/>
      <c r="C57" s="79"/>
      <c r="D57" s="79"/>
    </row>
    <row r="58">
      <c r="B58" s="79"/>
      <c r="C58" s="79"/>
      <c r="D58" s="79"/>
    </row>
    <row r="59">
      <c r="B59" s="79"/>
      <c r="C59" s="79"/>
      <c r="D59" s="79"/>
    </row>
    <row r="60">
      <c r="B60" s="79"/>
      <c r="C60" s="79"/>
      <c r="D60" s="79"/>
    </row>
    <row r="61">
      <c r="B61" s="79"/>
      <c r="C61" s="79"/>
      <c r="D61" s="79"/>
    </row>
    <row r="62">
      <c r="B62" s="79"/>
      <c r="C62" s="79"/>
      <c r="D62" s="79"/>
    </row>
    <row r="63">
      <c r="B63" s="79"/>
      <c r="C63" s="79"/>
      <c r="D63" s="79"/>
    </row>
    <row r="64">
      <c r="B64" s="79"/>
      <c r="C64" s="79"/>
      <c r="D64" s="79"/>
    </row>
    <row r="65">
      <c r="B65" s="79"/>
      <c r="C65" s="79"/>
      <c r="D65" s="79"/>
    </row>
    <row r="66">
      <c r="B66" s="79"/>
      <c r="C66" s="79"/>
      <c r="D66" s="79"/>
    </row>
    <row r="67">
      <c r="B67" s="79"/>
      <c r="C67" s="79"/>
      <c r="D67" s="79"/>
    </row>
    <row r="68">
      <c r="B68" s="79"/>
      <c r="C68" s="79"/>
      <c r="D68" s="79"/>
    </row>
    <row r="69">
      <c r="B69" s="79"/>
      <c r="C69" s="79"/>
      <c r="D69" s="79"/>
    </row>
    <row r="70">
      <c r="B70" s="79"/>
      <c r="C70" s="79"/>
      <c r="D70" s="79"/>
    </row>
    <row r="71">
      <c r="B71" s="79"/>
      <c r="C71" s="79"/>
      <c r="D71" s="79"/>
    </row>
    <row r="72">
      <c r="B72" s="79"/>
      <c r="C72" s="79"/>
      <c r="D72" s="79"/>
    </row>
    <row r="73">
      <c r="B73" s="79"/>
      <c r="C73" s="79"/>
      <c r="D73" s="79"/>
    </row>
    <row r="74">
      <c r="B74" s="79"/>
      <c r="C74" s="79"/>
      <c r="D74" s="7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6" max="6" width="72.63"/>
  </cols>
  <sheetData>
    <row r="1">
      <c r="A1" s="80" t="s">
        <v>68</v>
      </c>
      <c r="B1" s="81"/>
      <c r="C1" s="81"/>
      <c r="D1" s="81"/>
      <c r="E1" s="82"/>
      <c r="F1" s="45"/>
      <c r="G1" s="45"/>
      <c r="H1" s="45"/>
      <c r="I1" s="45"/>
    </row>
    <row r="2">
      <c r="A2" s="83"/>
      <c r="B2" s="84">
        <v>2021.0</v>
      </c>
      <c r="C2" s="85">
        <v>2022.0</v>
      </c>
      <c r="D2" s="85">
        <v>2023.0</v>
      </c>
      <c r="E2" s="86"/>
      <c r="F2" s="45"/>
      <c r="G2" s="45"/>
      <c r="H2" s="45"/>
      <c r="I2" s="45"/>
    </row>
    <row r="3">
      <c r="A3" s="87" t="s">
        <v>69</v>
      </c>
      <c r="B3" s="88">
        <f>'Questions 1, 2'!B8</f>
        <v>1009011</v>
      </c>
      <c r="C3" s="88">
        <f>'Questions 1, 2'!C8</f>
        <v>977309</v>
      </c>
      <c r="D3" s="88">
        <f>'Questions 1, 2'!D8</f>
        <v>993787</v>
      </c>
      <c r="E3" s="89"/>
      <c r="F3" s="45"/>
      <c r="G3" s="45"/>
      <c r="H3" s="45"/>
      <c r="I3" s="45"/>
    </row>
    <row r="4">
      <c r="A4" s="90" t="s">
        <v>70</v>
      </c>
      <c r="B4" s="91">
        <f>'Questions 1, 2'!B9</f>
        <v>837104</v>
      </c>
      <c r="C4" s="91">
        <f>'Questions 1, 2'!C9</f>
        <v>786993</v>
      </c>
      <c r="D4" s="91">
        <f>'Questions 1, 2'!D9</f>
        <v>796898</v>
      </c>
      <c r="E4" s="89"/>
      <c r="F4" s="45"/>
      <c r="G4" s="45"/>
      <c r="H4" s="45"/>
      <c r="I4" s="45"/>
    </row>
    <row r="5">
      <c r="A5" s="92" t="s">
        <v>71</v>
      </c>
      <c r="B5" s="93">
        <f t="shared" ref="B5:D5" si="1">B3/B4</f>
        <v>1.205359191</v>
      </c>
      <c r="C5" s="93">
        <f t="shared" si="1"/>
        <v>1.241826802</v>
      </c>
      <c r="D5" s="93">
        <f t="shared" si="1"/>
        <v>1.247069261</v>
      </c>
      <c r="E5" s="89"/>
      <c r="F5" s="45"/>
      <c r="G5" s="45"/>
      <c r="H5" s="45"/>
      <c r="I5" s="45"/>
    </row>
    <row r="6">
      <c r="A6" s="94"/>
      <c r="B6" s="95"/>
      <c r="C6" s="95"/>
      <c r="D6" s="95"/>
      <c r="E6" s="89"/>
      <c r="F6" s="45"/>
      <c r="G6" s="45"/>
      <c r="H6" s="45"/>
      <c r="I6" s="45"/>
    </row>
    <row r="7">
      <c r="A7" s="94"/>
      <c r="B7" s="96"/>
      <c r="C7" s="96"/>
      <c r="D7" s="96"/>
      <c r="E7" s="89"/>
      <c r="G7" s="45"/>
      <c r="H7" s="45"/>
      <c r="I7" s="45"/>
    </row>
    <row r="8">
      <c r="A8" s="97"/>
      <c r="B8" s="98">
        <v>2021.0</v>
      </c>
      <c r="C8" s="85">
        <v>2022.0</v>
      </c>
      <c r="D8" s="85">
        <v>2023.0</v>
      </c>
      <c r="E8" s="89"/>
      <c r="F8" s="45"/>
      <c r="G8" s="45"/>
      <c r="H8" s="45"/>
      <c r="I8" s="45"/>
    </row>
    <row r="9">
      <c r="A9" s="87" t="s">
        <v>72</v>
      </c>
      <c r="B9" s="88">
        <f>Ratios!B22</f>
        <v>4634</v>
      </c>
      <c r="C9" s="88">
        <f>Ratios!C22</f>
        <v>121104</v>
      </c>
      <c r="D9" s="88">
        <f>Ratios!D22</f>
        <v>8988</v>
      </c>
      <c r="E9" s="99"/>
      <c r="F9" s="45"/>
      <c r="G9" s="100"/>
      <c r="H9" s="45"/>
      <c r="I9" s="45"/>
    </row>
    <row r="10">
      <c r="A10" s="101" t="s">
        <v>70</v>
      </c>
      <c r="B10" s="102">
        <f t="shared" ref="B10:D10" si="2">B4</f>
        <v>837104</v>
      </c>
      <c r="C10" s="91">
        <f t="shared" si="2"/>
        <v>786993</v>
      </c>
      <c r="D10" s="91">
        <f t="shared" si="2"/>
        <v>796898</v>
      </c>
      <c r="E10" s="89"/>
      <c r="F10" s="45"/>
      <c r="G10" s="45"/>
      <c r="H10" s="45"/>
      <c r="I10" s="45"/>
    </row>
    <row r="11">
      <c r="A11" s="103" t="s">
        <v>73</v>
      </c>
      <c r="B11" s="93">
        <f t="shared" ref="B11:D11" si="3">B9/B10</f>
        <v>0.00553575183</v>
      </c>
      <c r="C11" s="93">
        <f t="shared" si="3"/>
        <v>0.1538819278</v>
      </c>
      <c r="D11" s="93">
        <f t="shared" si="3"/>
        <v>0.01127873329</v>
      </c>
      <c r="E11" s="89"/>
      <c r="F11" s="45"/>
      <c r="G11" s="45"/>
      <c r="H11" s="45"/>
      <c r="I11" s="45"/>
    </row>
    <row r="12">
      <c r="A12" s="94"/>
      <c r="B12" s="96"/>
      <c r="C12" s="96"/>
      <c r="D12" s="96"/>
      <c r="E12" s="89"/>
      <c r="F12" s="45"/>
      <c r="G12" s="45"/>
      <c r="H12" s="45"/>
      <c r="I12" s="45"/>
    </row>
    <row r="13">
      <c r="A13" s="97"/>
      <c r="B13" s="84">
        <v>2021.0</v>
      </c>
      <c r="C13" s="85">
        <v>2022.0</v>
      </c>
      <c r="D13" s="85">
        <v>2023.0</v>
      </c>
      <c r="E13" s="89"/>
      <c r="F13" s="45"/>
      <c r="G13" s="45"/>
      <c r="H13" s="45"/>
      <c r="I13" s="45"/>
    </row>
    <row r="14">
      <c r="A14" s="101" t="s">
        <v>74</v>
      </c>
      <c r="B14" s="104">
        <f>Ratios!B32</f>
        <v>43.25841554</v>
      </c>
      <c r="C14" s="88">
        <f>Ratios!C32</f>
        <v>46.77471712</v>
      </c>
      <c r="D14" s="104">
        <f>Ratios!D32</f>
        <v>38.0319181</v>
      </c>
      <c r="E14" s="89"/>
      <c r="F14" s="45"/>
      <c r="G14" s="45"/>
      <c r="H14" s="45"/>
      <c r="I14" s="45"/>
    </row>
    <row r="15">
      <c r="A15" s="101" t="s">
        <v>75</v>
      </c>
      <c r="B15" s="104">
        <f>Ratios!B33</f>
        <v>112.5448396</v>
      </c>
      <c r="C15" s="88">
        <f>Ratios!C33</f>
        <v>101.0186343</v>
      </c>
      <c r="D15" s="104">
        <f>Ratios!D33</f>
        <v>101.5899148</v>
      </c>
      <c r="E15" s="99"/>
      <c r="F15" s="45"/>
      <c r="G15" s="45"/>
      <c r="H15" s="45"/>
      <c r="I15" s="45"/>
    </row>
    <row r="16">
      <c r="A16" s="105" t="s">
        <v>76</v>
      </c>
      <c r="B16" s="104">
        <f>Ratios!B34</f>
        <v>87.27064174</v>
      </c>
      <c r="C16" s="88">
        <f>Ratios!C34</f>
        <v>89.00437479</v>
      </c>
      <c r="D16" s="104">
        <f>Ratios!D34</f>
        <v>82.1450417</v>
      </c>
      <c r="E16" s="99"/>
      <c r="F16" s="45"/>
      <c r="G16" s="45"/>
      <c r="H16" s="45"/>
      <c r="I16" s="45"/>
    </row>
    <row r="17">
      <c r="A17" s="103" t="s">
        <v>77</v>
      </c>
      <c r="B17" s="106">
        <f t="shared" ref="B17:D17" si="4">B14+B15-B16</f>
        <v>68.53261341</v>
      </c>
      <c r="C17" s="106">
        <f t="shared" si="4"/>
        <v>58.78897663</v>
      </c>
      <c r="D17" s="106">
        <f t="shared" si="4"/>
        <v>57.47679121</v>
      </c>
      <c r="E17" s="107"/>
      <c r="F17" s="45"/>
      <c r="G17" s="45"/>
      <c r="H17" s="45"/>
      <c r="I17" s="45"/>
    </row>
    <row r="18">
      <c r="A18" s="108"/>
      <c r="B18" s="108"/>
      <c r="C18" s="108"/>
      <c r="D18" s="108"/>
      <c r="E18" s="108"/>
      <c r="F18" s="45"/>
      <c r="G18" s="45"/>
      <c r="H18" s="45"/>
      <c r="I18" s="45"/>
    </row>
    <row r="19">
      <c r="A19" s="109" t="s">
        <v>78</v>
      </c>
      <c r="B19" s="110"/>
      <c r="C19" s="110"/>
      <c r="D19" s="110"/>
      <c r="E19" s="111"/>
      <c r="F19" s="45"/>
      <c r="G19" s="45"/>
      <c r="H19" s="45"/>
      <c r="I19" s="45"/>
    </row>
    <row r="20">
      <c r="A20" s="112"/>
      <c r="B20" s="113">
        <v>2021.0</v>
      </c>
      <c r="C20" s="114">
        <v>2022.0</v>
      </c>
      <c r="D20" s="114">
        <v>2023.0</v>
      </c>
      <c r="E20" s="111"/>
      <c r="F20" s="45"/>
      <c r="G20" s="45"/>
      <c r="H20" s="45"/>
      <c r="I20" s="45"/>
    </row>
    <row r="21">
      <c r="A21" s="115" t="s">
        <v>79</v>
      </c>
      <c r="B21" s="116">
        <f>Ratios!B21</f>
        <v>496268</v>
      </c>
      <c r="C21" s="116">
        <f>Ratios!C21</f>
        <v>338125</v>
      </c>
      <c r="D21" s="116">
        <f>Ratios!D21</f>
        <v>296947</v>
      </c>
      <c r="E21" s="111"/>
      <c r="F21" s="45"/>
      <c r="G21" s="45"/>
      <c r="H21" s="45"/>
      <c r="I21" s="45"/>
    </row>
    <row r="22">
      <c r="A22" s="115" t="s">
        <v>25</v>
      </c>
      <c r="B22" s="116">
        <f>Ratios!B4</f>
        <v>739784</v>
      </c>
      <c r="C22" s="116">
        <f>Ratios!C4</f>
        <v>852406</v>
      </c>
      <c r="D22" s="116">
        <f>Ratios!D4</f>
        <v>774456</v>
      </c>
      <c r="E22" s="111"/>
      <c r="F22" s="45"/>
      <c r="G22" s="45"/>
      <c r="H22" s="45"/>
      <c r="I22" s="45"/>
    </row>
    <row r="23">
      <c r="A23" s="117" t="s">
        <v>80</v>
      </c>
      <c r="B23" s="118">
        <f t="shared" ref="B23:D23" si="5">B21/B22</f>
        <v>0.6708282418</v>
      </c>
      <c r="C23" s="118">
        <f t="shared" si="5"/>
        <v>0.3966713045</v>
      </c>
      <c r="D23" s="118">
        <f t="shared" si="5"/>
        <v>0.3834265601</v>
      </c>
      <c r="E23" s="119"/>
      <c r="F23" s="45"/>
      <c r="G23" s="45"/>
      <c r="H23" s="45"/>
      <c r="I23" s="45"/>
    </row>
    <row r="24">
      <c r="A24" s="120"/>
      <c r="B24" s="110"/>
      <c r="C24" s="110"/>
      <c r="D24" s="110"/>
      <c r="E24" s="111"/>
      <c r="F24" s="45"/>
      <c r="G24" s="45"/>
      <c r="H24" s="45"/>
      <c r="I24" s="45"/>
    </row>
    <row r="25">
      <c r="A25" s="121"/>
      <c r="B25" s="113">
        <v>2021.0</v>
      </c>
      <c r="C25" s="114">
        <v>2022.0</v>
      </c>
      <c r="D25" s="114">
        <v>2023.0</v>
      </c>
      <c r="E25" s="111"/>
      <c r="F25" s="45"/>
      <c r="G25" s="45"/>
      <c r="H25" s="45"/>
      <c r="I25" s="45"/>
    </row>
    <row r="26">
      <c r="A26" s="115" t="s">
        <v>81</v>
      </c>
      <c r="B26" s="116">
        <f>Ratios!B23</f>
        <v>2097</v>
      </c>
      <c r="C26" s="116">
        <f>Ratios!C23</f>
        <v>3016</v>
      </c>
      <c r="D26" s="116">
        <f>Ratios!D23</f>
        <v>4634</v>
      </c>
      <c r="E26" s="119"/>
      <c r="F26" s="45"/>
      <c r="G26" s="45"/>
      <c r="H26" s="45"/>
      <c r="I26" s="45"/>
    </row>
    <row r="27">
      <c r="A27" s="122" t="s">
        <v>56</v>
      </c>
      <c r="B27" s="123">
        <f>Ratios!B19</f>
        <v>-2031</v>
      </c>
      <c r="C27" s="123">
        <f>Ratios!C19</f>
        <v>-2120</v>
      </c>
      <c r="D27" s="123">
        <f>Ratios!D19</f>
        <v>-1462</v>
      </c>
      <c r="E27" s="111"/>
      <c r="F27" s="45"/>
      <c r="G27" s="45"/>
      <c r="H27" s="45"/>
      <c r="I27" s="45"/>
    </row>
    <row r="28">
      <c r="A28" s="117" t="s">
        <v>82</v>
      </c>
      <c r="B28" s="124">
        <f t="shared" ref="B28:D28" si="6">B26/B27</f>
        <v>-1.032496307</v>
      </c>
      <c r="C28" s="124">
        <f t="shared" si="6"/>
        <v>-1.422641509</v>
      </c>
      <c r="D28" s="124">
        <f t="shared" si="6"/>
        <v>-3.169630643</v>
      </c>
      <c r="E28" s="111"/>
      <c r="F28" s="45"/>
      <c r="G28" s="45"/>
      <c r="H28" s="45"/>
      <c r="I28" s="45"/>
    </row>
    <row r="29">
      <c r="A29" s="120"/>
      <c r="B29" s="125"/>
      <c r="C29" s="125"/>
      <c r="D29" s="125"/>
      <c r="E29" s="111"/>
      <c r="F29" s="45"/>
      <c r="G29" s="45"/>
      <c r="H29" s="45"/>
      <c r="I29" s="45"/>
    </row>
    <row r="30">
      <c r="A30" s="120"/>
      <c r="B30" s="110"/>
      <c r="C30" s="110"/>
      <c r="D30" s="110"/>
      <c r="E30" s="111"/>
      <c r="F30" s="45"/>
      <c r="G30" s="45"/>
      <c r="H30" s="45"/>
      <c r="I30" s="45"/>
    </row>
    <row r="31">
      <c r="A31" s="121"/>
      <c r="B31" s="113">
        <v>2021.0</v>
      </c>
      <c r="C31" s="114">
        <v>2022.0</v>
      </c>
      <c r="D31" s="114">
        <v>2023.0</v>
      </c>
      <c r="E31" s="111"/>
      <c r="F31" s="45"/>
      <c r="G31" s="45"/>
      <c r="H31" s="45"/>
      <c r="I31" s="45"/>
    </row>
    <row r="32">
      <c r="A32" s="115" t="s">
        <v>81</v>
      </c>
      <c r="B32" s="123">
        <f t="shared" ref="B32:D32" si="7">B26</f>
        <v>2097</v>
      </c>
      <c r="C32" s="123">
        <f t="shared" si="7"/>
        <v>3016</v>
      </c>
      <c r="D32" s="123">
        <f t="shared" si="7"/>
        <v>4634</v>
      </c>
      <c r="E32" s="111"/>
      <c r="F32" s="45"/>
      <c r="G32" s="45"/>
      <c r="H32" s="45"/>
      <c r="I32" s="45"/>
    </row>
    <row r="33">
      <c r="A33" s="115" t="s">
        <v>83</v>
      </c>
      <c r="B33" s="123">
        <f t="shared" ref="B33:D33" si="8">B21</f>
        <v>496268</v>
      </c>
      <c r="C33" s="126">
        <f t="shared" si="8"/>
        <v>338125</v>
      </c>
      <c r="D33" s="126">
        <f t="shared" si="8"/>
        <v>296947</v>
      </c>
      <c r="E33" s="111"/>
      <c r="F33" s="45"/>
      <c r="G33" s="45"/>
      <c r="H33" s="45"/>
      <c r="I33" s="45"/>
    </row>
    <row r="34">
      <c r="A34" s="117" t="s">
        <v>84</v>
      </c>
      <c r="B34" s="127">
        <f t="shared" ref="B34:D34" si="9">B32/B33</f>
        <v>0.004225539426</v>
      </c>
      <c r="C34" s="128">
        <f t="shared" si="9"/>
        <v>0.008919778189</v>
      </c>
      <c r="D34" s="128">
        <f t="shared" si="9"/>
        <v>0.01560547842</v>
      </c>
      <c r="E34" s="111"/>
      <c r="F34" s="45"/>
      <c r="G34" s="45"/>
      <c r="H34" s="45"/>
      <c r="I34" s="45"/>
    </row>
    <row r="35">
      <c r="A35" s="120"/>
      <c r="B35" s="125"/>
      <c r="C35" s="125"/>
      <c r="D35" s="125"/>
      <c r="E35" s="111"/>
      <c r="F35" s="45"/>
      <c r="G35" s="45"/>
      <c r="H35" s="45"/>
      <c r="I35" s="45"/>
    </row>
    <row r="36">
      <c r="A36" s="120"/>
      <c r="B36" s="110"/>
      <c r="C36" s="110"/>
      <c r="D36" s="110"/>
      <c r="E36" s="111"/>
      <c r="F36" s="45"/>
      <c r="G36" s="45"/>
      <c r="H36" s="45"/>
      <c r="I36" s="45"/>
    </row>
    <row r="37">
      <c r="A37" s="121"/>
      <c r="B37" s="113">
        <v>2021.0</v>
      </c>
      <c r="C37" s="114">
        <v>2022.0</v>
      </c>
      <c r="D37" s="114">
        <v>2023.0</v>
      </c>
      <c r="E37" s="111"/>
      <c r="F37" s="45"/>
      <c r="G37" s="45"/>
      <c r="H37" s="45"/>
      <c r="I37" s="45"/>
    </row>
    <row r="38">
      <c r="A38" s="115" t="s">
        <v>85</v>
      </c>
      <c r="B38" s="129">
        <f t="shared" ref="B38:D38" si="10">B51</f>
        <v>30360</v>
      </c>
      <c r="C38" s="129">
        <f t="shared" si="10"/>
        <v>28110</v>
      </c>
      <c r="D38" s="129">
        <f t="shared" si="10"/>
        <v>28813</v>
      </c>
      <c r="E38" s="111"/>
      <c r="F38" s="45"/>
      <c r="G38" s="45"/>
      <c r="H38" s="45"/>
      <c r="I38" s="45"/>
    </row>
    <row r="39">
      <c r="A39" s="122" t="s">
        <v>86</v>
      </c>
      <c r="B39" s="130">
        <v>-108052.0</v>
      </c>
      <c r="C39" s="130">
        <v>277925.0</v>
      </c>
      <c r="D39" s="130">
        <v>-69157.0</v>
      </c>
      <c r="E39" s="111"/>
      <c r="F39" s="62" t="s">
        <v>87</v>
      </c>
      <c r="G39" s="45"/>
      <c r="H39" s="45"/>
      <c r="I39" s="45"/>
    </row>
    <row r="40">
      <c r="A40" s="117" t="s">
        <v>88</v>
      </c>
      <c r="B40" s="131">
        <f t="shared" ref="B40:D40" si="11">B38/B39</f>
        <v>-0.2809758265</v>
      </c>
      <c r="C40" s="131">
        <f t="shared" si="11"/>
        <v>0.1011423945</v>
      </c>
      <c r="D40" s="131">
        <f t="shared" si="11"/>
        <v>-0.416631722</v>
      </c>
      <c r="E40" s="132"/>
      <c r="F40" s="45"/>
      <c r="G40" s="45"/>
      <c r="H40" s="45"/>
      <c r="I40" s="45"/>
    </row>
    <row r="41">
      <c r="A41" s="108"/>
      <c r="B41" s="108"/>
      <c r="C41" s="108"/>
      <c r="D41" s="108"/>
      <c r="E41" s="108"/>
      <c r="F41" s="45"/>
      <c r="G41" s="45"/>
      <c r="H41" s="45"/>
      <c r="I41" s="45"/>
    </row>
    <row r="42">
      <c r="A42" s="133" t="s">
        <v>89</v>
      </c>
      <c r="B42" s="134"/>
      <c r="C42" s="134"/>
      <c r="D42" s="134"/>
      <c r="E42" s="135"/>
      <c r="F42" s="45"/>
      <c r="G42" s="45"/>
      <c r="H42" s="45"/>
      <c r="I42" s="45"/>
    </row>
    <row r="43">
      <c r="A43" s="136"/>
      <c r="B43" s="137">
        <v>2021.0</v>
      </c>
      <c r="C43" s="138">
        <v>2022.0</v>
      </c>
      <c r="D43" s="138">
        <v>2023.0</v>
      </c>
      <c r="E43" s="135"/>
      <c r="F43" s="45"/>
      <c r="G43" s="45"/>
      <c r="H43" s="45"/>
      <c r="I43" s="45"/>
    </row>
    <row r="44">
      <c r="A44" s="139" t="s">
        <v>90</v>
      </c>
      <c r="B44" s="140">
        <f>Ratios!B16</f>
        <v>120230</v>
      </c>
      <c r="C44" s="140">
        <f>Ratios!C16</f>
        <v>113574</v>
      </c>
      <c r="D44" s="140">
        <f>Ratios!D16</f>
        <v>87708</v>
      </c>
      <c r="E44" s="135"/>
      <c r="F44" s="45"/>
      <c r="G44" s="45"/>
      <c r="H44" s="45"/>
      <c r="I44" s="45"/>
    </row>
    <row r="45">
      <c r="A45" s="141" t="s">
        <v>91</v>
      </c>
      <c r="B45" s="142">
        <f>'Question 5 Bilan'!J40</f>
        <v>2217080</v>
      </c>
      <c r="C45" s="142">
        <f>'Question 5 Bilan'!I40</f>
        <v>2112834</v>
      </c>
      <c r="D45" s="142">
        <f>'Question 5 Bilan'!H40</f>
        <v>1991860</v>
      </c>
      <c r="E45" s="135"/>
      <c r="F45" s="45"/>
      <c r="G45" s="45"/>
      <c r="H45" s="45"/>
      <c r="I45" s="45"/>
    </row>
    <row r="46">
      <c r="A46" s="143" t="s">
        <v>92</v>
      </c>
      <c r="B46" s="144">
        <f t="shared" ref="B46:D46" si="12">B44/B45</f>
        <v>0.05422898587</v>
      </c>
      <c r="C46" s="144">
        <f t="shared" si="12"/>
        <v>0.05375434133</v>
      </c>
      <c r="D46" s="144">
        <f t="shared" si="12"/>
        <v>0.04403321519</v>
      </c>
      <c r="E46" s="135"/>
      <c r="F46" s="45"/>
      <c r="G46" s="45"/>
      <c r="H46" s="45"/>
      <c r="I46" s="45"/>
    </row>
    <row r="47">
      <c r="A47" s="145"/>
      <c r="B47" s="146"/>
      <c r="C47" s="146"/>
      <c r="D47" s="146"/>
      <c r="E47" s="135"/>
      <c r="F47" s="45"/>
      <c r="G47" s="45"/>
      <c r="H47" s="45"/>
      <c r="I47" s="45"/>
    </row>
    <row r="48">
      <c r="A48" s="145"/>
      <c r="B48" s="134"/>
      <c r="C48" s="134"/>
      <c r="D48" s="134"/>
      <c r="E48" s="135"/>
      <c r="F48" s="45"/>
      <c r="G48" s="45"/>
      <c r="H48" s="45"/>
      <c r="I48" s="45"/>
    </row>
    <row r="49">
      <c r="A49" s="136"/>
      <c r="B49" s="147">
        <v>2021.0</v>
      </c>
      <c r="C49" s="138">
        <v>2022.0</v>
      </c>
      <c r="D49" s="138">
        <v>2023.0</v>
      </c>
      <c r="E49" s="135"/>
      <c r="F49" s="45"/>
      <c r="G49" s="45"/>
      <c r="H49" s="45"/>
      <c r="I49" s="45"/>
    </row>
    <row r="50">
      <c r="A50" s="141" t="s">
        <v>83</v>
      </c>
      <c r="B50" s="140">
        <f t="shared" ref="B50:D50" si="13">B33</f>
        <v>496268</v>
      </c>
      <c r="C50" s="140">
        <f t="shared" si="13"/>
        <v>338125</v>
      </c>
      <c r="D50" s="140">
        <f t="shared" si="13"/>
        <v>296947</v>
      </c>
      <c r="E50" s="135"/>
      <c r="F50" s="45"/>
      <c r="G50" s="45"/>
      <c r="H50" s="45"/>
      <c r="I50" s="45"/>
    </row>
    <row r="51">
      <c r="A51" s="141" t="s">
        <v>15</v>
      </c>
      <c r="B51" s="148">
        <f>'Questions 1, 2'!B25</f>
        <v>30360</v>
      </c>
      <c r="C51" s="148">
        <f>'Questions 1, 2'!C25</f>
        <v>28110</v>
      </c>
      <c r="D51" s="148">
        <f>'Questions 1, 2'!D25</f>
        <v>28813</v>
      </c>
      <c r="E51" s="135"/>
      <c r="F51" s="45"/>
      <c r="G51" s="45"/>
      <c r="H51" s="45"/>
      <c r="I51" s="45"/>
    </row>
    <row r="52">
      <c r="A52" s="149" t="s">
        <v>93</v>
      </c>
      <c r="B52" s="144">
        <f t="shared" ref="B52:D52" si="14">B50/B51</f>
        <v>16.34611331</v>
      </c>
      <c r="C52" s="144">
        <f t="shared" si="14"/>
        <v>12.0286375</v>
      </c>
      <c r="D52" s="144">
        <f t="shared" si="14"/>
        <v>10.3060077</v>
      </c>
      <c r="E52" s="135"/>
      <c r="F52" s="45"/>
      <c r="G52" s="45"/>
      <c r="H52" s="45"/>
      <c r="I52" s="45"/>
    </row>
    <row r="53">
      <c r="A53" s="145"/>
      <c r="B53" s="146"/>
      <c r="C53" s="146"/>
      <c r="D53" s="146"/>
      <c r="E53" s="135"/>
      <c r="F53" s="45"/>
      <c r="G53" s="45"/>
      <c r="H53" s="45"/>
      <c r="I53" s="45"/>
    </row>
    <row r="54">
      <c r="A54" s="145"/>
      <c r="B54" s="146"/>
      <c r="C54" s="146"/>
      <c r="D54" s="146"/>
      <c r="E54" s="135"/>
      <c r="F54" s="45"/>
      <c r="G54" s="45"/>
      <c r="H54" s="45"/>
      <c r="I54" s="45"/>
    </row>
    <row r="55">
      <c r="A55" s="145"/>
      <c r="B55" s="146"/>
      <c r="C55" s="146"/>
      <c r="D55" s="146"/>
      <c r="E55" s="135"/>
      <c r="F55" s="45"/>
      <c r="G55" s="45"/>
      <c r="H55" s="45"/>
      <c r="I55" s="45"/>
    </row>
    <row r="56">
      <c r="A56" s="145"/>
      <c r="B56" s="146"/>
      <c r="C56" s="146"/>
      <c r="D56" s="146"/>
      <c r="E56" s="135"/>
      <c r="F56" s="45"/>
      <c r="G56" s="45"/>
      <c r="H56" s="45"/>
      <c r="I56" s="45"/>
    </row>
    <row r="57">
      <c r="A57" s="145"/>
      <c r="B57" s="146"/>
      <c r="C57" s="146"/>
      <c r="D57" s="146"/>
      <c r="E57" s="135"/>
      <c r="F57" s="45"/>
      <c r="G57" s="45"/>
      <c r="H57" s="45"/>
      <c r="I57" s="45"/>
    </row>
    <row r="58">
      <c r="A58" s="150"/>
      <c r="B58" s="134"/>
      <c r="C58" s="134"/>
      <c r="D58" s="134"/>
      <c r="E58" s="151"/>
      <c r="F58" s="45"/>
      <c r="G58" s="45"/>
      <c r="H58" s="45"/>
      <c r="I58" s="45"/>
    </row>
    <row r="59">
      <c r="A59" s="45"/>
      <c r="B59" s="45"/>
      <c r="C59" s="45"/>
      <c r="D59" s="45"/>
      <c r="E59" s="45"/>
      <c r="F59" s="45"/>
      <c r="G59" s="45"/>
      <c r="H59" s="45"/>
      <c r="I59" s="45"/>
    </row>
    <row r="60">
      <c r="A60" s="45"/>
      <c r="B60" s="45"/>
      <c r="C60" s="45"/>
      <c r="D60" s="45"/>
      <c r="E60" s="45"/>
      <c r="F60" s="45"/>
      <c r="G60" s="45"/>
      <c r="H60" s="45"/>
      <c r="I60" s="45"/>
    </row>
    <row r="61">
      <c r="A61" s="45"/>
      <c r="B61" s="45"/>
      <c r="C61" s="45"/>
      <c r="D61" s="45"/>
      <c r="E61" s="45"/>
      <c r="F61" s="45"/>
      <c r="G61" s="45"/>
      <c r="H61" s="45"/>
      <c r="I61" s="45"/>
    </row>
    <row r="62">
      <c r="A62" s="45"/>
      <c r="B62" s="45"/>
      <c r="C62" s="45"/>
      <c r="D62" s="45"/>
      <c r="E62" s="45"/>
      <c r="F62" s="45"/>
      <c r="G62" s="45"/>
      <c r="H62" s="45"/>
      <c r="I62" s="45"/>
    </row>
    <row r="63">
      <c r="A63" s="45"/>
      <c r="B63" s="45"/>
      <c r="C63" s="45"/>
      <c r="D63" s="45"/>
      <c r="E63" s="45"/>
      <c r="F63" s="45"/>
      <c r="G63" s="45"/>
      <c r="H63" s="45"/>
      <c r="I63" s="45"/>
    </row>
    <row r="64">
      <c r="A64" s="45"/>
      <c r="B64" s="45"/>
      <c r="C64" s="45"/>
      <c r="D64" s="45"/>
      <c r="E64" s="45"/>
      <c r="F64" s="45"/>
      <c r="G64" s="45"/>
      <c r="H64" s="45"/>
      <c r="I64" s="45"/>
    </row>
    <row r="65">
      <c r="A65" s="45"/>
      <c r="B65" s="45"/>
      <c r="C65" s="45"/>
      <c r="D65" s="45"/>
      <c r="E65" s="45"/>
      <c r="F65" s="45"/>
      <c r="G65" s="45"/>
      <c r="H65" s="45"/>
      <c r="I65" s="45"/>
    </row>
    <row r="66">
      <c r="A66" s="45"/>
      <c r="B66" s="45"/>
      <c r="C66" s="45"/>
      <c r="D66" s="45"/>
      <c r="E66" s="45"/>
      <c r="F66" s="45"/>
      <c r="G66" s="45"/>
      <c r="H66" s="45"/>
      <c r="I66" s="45"/>
    </row>
    <row r="67">
      <c r="A67" s="45"/>
      <c r="B67" s="45"/>
      <c r="C67" s="45"/>
      <c r="D67" s="45"/>
      <c r="E67" s="45"/>
      <c r="F67" s="45"/>
      <c r="G67" s="45"/>
      <c r="H67" s="45"/>
      <c r="I67" s="45"/>
    </row>
    <row r="68">
      <c r="A68" s="45"/>
      <c r="B68" s="45"/>
      <c r="C68" s="45"/>
      <c r="D68" s="45"/>
      <c r="E68" s="45"/>
      <c r="F68" s="45"/>
      <c r="G68" s="45"/>
      <c r="H68" s="45"/>
      <c r="I68" s="45"/>
    </row>
    <row r="69">
      <c r="A69" s="45"/>
      <c r="B69" s="45"/>
      <c r="C69" s="45"/>
      <c r="D69" s="45"/>
      <c r="E69" s="45"/>
      <c r="F69" s="45"/>
      <c r="G69" s="45"/>
      <c r="H69" s="45"/>
      <c r="I69" s="45"/>
    </row>
    <row r="70">
      <c r="A70" s="45"/>
      <c r="B70" s="45"/>
      <c r="C70" s="45"/>
      <c r="D70" s="45"/>
      <c r="E70" s="45"/>
      <c r="F70" s="45"/>
      <c r="G70" s="45"/>
      <c r="H70" s="45"/>
      <c r="I70" s="45"/>
    </row>
    <row r="71">
      <c r="A71" s="45"/>
      <c r="B71" s="45"/>
      <c r="C71" s="45"/>
      <c r="D71" s="45"/>
      <c r="E71" s="45"/>
      <c r="F71" s="45"/>
      <c r="G71" s="45"/>
      <c r="H71" s="45"/>
      <c r="I71" s="45"/>
    </row>
    <row r="72">
      <c r="A72" s="45"/>
      <c r="B72" s="45"/>
      <c r="C72" s="45"/>
      <c r="D72" s="45"/>
      <c r="E72" s="45"/>
      <c r="F72" s="45"/>
      <c r="G72" s="45"/>
      <c r="H72" s="45"/>
      <c r="I72" s="45"/>
    </row>
    <row r="73">
      <c r="A73" s="45"/>
      <c r="B73" s="45"/>
      <c r="C73" s="45"/>
      <c r="D73" s="45"/>
      <c r="E73" s="45"/>
      <c r="F73" s="45"/>
      <c r="G73" s="45"/>
      <c r="H73" s="45"/>
      <c r="I73" s="45"/>
    </row>
    <row r="74">
      <c r="A74" s="45"/>
      <c r="B74" s="45"/>
      <c r="C74" s="45"/>
      <c r="D74" s="45"/>
      <c r="E74" s="45"/>
      <c r="F74" s="45"/>
      <c r="G74" s="45"/>
      <c r="H74" s="45"/>
      <c r="I74" s="45"/>
    </row>
    <row r="75">
      <c r="A75" s="45"/>
      <c r="B75" s="45"/>
      <c r="C75" s="45"/>
      <c r="D75" s="45"/>
      <c r="E75" s="45"/>
      <c r="F75" s="45"/>
      <c r="G75" s="45"/>
      <c r="H75" s="45"/>
      <c r="I75" s="45"/>
    </row>
    <row r="76">
      <c r="A76" s="45"/>
      <c r="B76" s="45"/>
      <c r="C76" s="45"/>
      <c r="D76" s="45"/>
      <c r="E76" s="45"/>
      <c r="F76" s="45"/>
      <c r="G76" s="45"/>
      <c r="H76" s="45"/>
      <c r="I76" s="45"/>
    </row>
    <row r="77">
      <c r="A77" s="45"/>
      <c r="B77" s="45"/>
      <c r="C77" s="45"/>
      <c r="D77" s="45"/>
      <c r="E77" s="45"/>
      <c r="F77" s="45"/>
      <c r="G77" s="45"/>
      <c r="H77" s="45"/>
      <c r="I77" s="45"/>
    </row>
    <row r="78">
      <c r="A78" s="45"/>
      <c r="B78" s="45"/>
      <c r="C78" s="45"/>
      <c r="D78" s="45"/>
      <c r="E78" s="45"/>
      <c r="F78" s="45"/>
      <c r="G78" s="45"/>
      <c r="H78" s="45"/>
      <c r="I78" s="45"/>
    </row>
    <row r="79">
      <c r="A79" s="45"/>
      <c r="B79" s="45"/>
      <c r="C79" s="45"/>
      <c r="D79" s="45"/>
      <c r="E79" s="45"/>
      <c r="F79" s="45"/>
      <c r="G79" s="45"/>
      <c r="H79" s="45"/>
      <c r="I79" s="45"/>
    </row>
    <row r="80">
      <c r="A80" s="45"/>
      <c r="B80" s="45"/>
      <c r="C80" s="45"/>
      <c r="D80" s="45"/>
      <c r="E80" s="45"/>
      <c r="F80" s="45"/>
      <c r="G80" s="45"/>
      <c r="H80" s="45"/>
      <c r="I80" s="45"/>
    </row>
    <row r="81">
      <c r="A81" s="45"/>
      <c r="B81" s="45"/>
      <c r="C81" s="45"/>
      <c r="D81" s="45"/>
      <c r="E81" s="45"/>
      <c r="F81" s="45"/>
      <c r="G81" s="45"/>
      <c r="H81" s="45"/>
      <c r="I81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0"/>
    <col customWidth="1" min="7" max="7" width="45.5"/>
  </cols>
  <sheetData>
    <row r="1">
      <c r="A1" s="48"/>
      <c r="B1" s="152"/>
      <c r="C1" s="153" t="s">
        <v>94</v>
      </c>
      <c r="D1" s="154"/>
      <c r="E1" s="154"/>
      <c r="F1" s="154"/>
      <c r="G1" s="154"/>
      <c r="H1" s="154"/>
      <c r="I1" s="154"/>
      <c r="J1" s="155"/>
      <c r="K1" s="48"/>
      <c r="L1" s="48"/>
    </row>
    <row r="2">
      <c r="A2" s="48"/>
      <c r="B2" s="156"/>
      <c r="J2" s="157"/>
      <c r="K2" s="48"/>
      <c r="L2" s="48"/>
    </row>
    <row r="3">
      <c r="A3" s="48"/>
      <c r="B3" s="156"/>
      <c r="J3" s="157"/>
      <c r="K3" s="48"/>
      <c r="L3" s="48"/>
    </row>
    <row r="4">
      <c r="A4" s="48"/>
      <c r="B4" s="156"/>
      <c r="J4" s="157"/>
      <c r="K4" s="48"/>
      <c r="L4" s="48"/>
    </row>
    <row r="5">
      <c r="A5" s="48"/>
      <c r="B5" s="156"/>
      <c r="C5" s="158"/>
      <c r="D5" s="158"/>
      <c r="E5" s="158"/>
      <c r="F5" s="158"/>
      <c r="G5" s="158"/>
      <c r="H5" s="158"/>
      <c r="I5" s="158"/>
      <c r="J5" s="159"/>
      <c r="K5" s="48"/>
      <c r="L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>
      <c r="A7" s="48"/>
      <c r="B7" s="48"/>
      <c r="C7" s="160"/>
      <c r="D7" s="160"/>
      <c r="E7" s="160"/>
      <c r="F7" s="160"/>
      <c r="G7" s="160"/>
      <c r="H7" s="160"/>
      <c r="I7" s="160"/>
      <c r="J7" s="160"/>
      <c r="K7" s="48"/>
      <c r="L7" s="48"/>
    </row>
    <row r="8">
      <c r="A8" s="48"/>
      <c r="B8" s="156"/>
      <c r="C8" s="161" t="s">
        <v>95</v>
      </c>
      <c r="D8" s="162">
        <v>45107.0</v>
      </c>
      <c r="E8" s="162">
        <v>44742.0</v>
      </c>
      <c r="F8" s="162">
        <v>44377.0</v>
      </c>
      <c r="G8" s="161" t="s">
        <v>96</v>
      </c>
      <c r="H8" s="162">
        <v>45107.0</v>
      </c>
      <c r="I8" s="162">
        <v>44742.0</v>
      </c>
      <c r="J8" s="162">
        <v>44377.0</v>
      </c>
      <c r="K8" s="48"/>
      <c r="L8" s="48"/>
    </row>
    <row r="9">
      <c r="A9" s="163" t="s">
        <v>97</v>
      </c>
      <c r="B9" s="157"/>
      <c r="C9" s="164" t="s">
        <v>98</v>
      </c>
      <c r="D9" s="156"/>
      <c r="E9" s="156"/>
      <c r="F9" s="156"/>
      <c r="G9" s="156"/>
      <c r="H9" s="156"/>
      <c r="I9" s="156"/>
      <c r="J9" s="156"/>
      <c r="K9" s="165" t="s">
        <v>99</v>
      </c>
      <c r="O9" s="166"/>
      <c r="P9" s="167"/>
      <c r="Q9" s="167"/>
      <c r="R9" s="167"/>
      <c r="S9" s="166"/>
    </row>
    <row r="10">
      <c r="A10" s="168"/>
      <c r="B10" s="169"/>
      <c r="C10" s="170" t="s">
        <v>100</v>
      </c>
      <c r="D10" s="156"/>
      <c r="E10" s="156"/>
      <c r="F10" s="156"/>
      <c r="G10" s="171" t="s">
        <v>101</v>
      </c>
      <c r="H10" s="172">
        <v>57103.0</v>
      </c>
      <c r="I10" s="172">
        <v>57103.0</v>
      </c>
      <c r="J10" s="172">
        <v>57103.0</v>
      </c>
      <c r="K10" s="173"/>
      <c r="L10" s="173"/>
      <c r="O10" s="167"/>
      <c r="P10" s="166"/>
      <c r="Q10" s="166"/>
      <c r="R10" s="166"/>
      <c r="S10" s="166"/>
    </row>
    <row r="11">
      <c r="A11" s="168"/>
      <c r="B11" s="169"/>
      <c r="C11" s="171" t="s">
        <v>102</v>
      </c>
      <c r="D11" s="172">
        <v>384336.0</v>
      </c>
      <c r="E11" s="172">
        <v>400188.0</v>
      </c>
      <c r="F11" s="172">
        <v>468235.0</v>
      </c>
      <c r="G11" s="171" t="s">
        <v>103</v>
      </c>
      <c r="H11" s="172">
        <v>40103.0</v>
      </c>
      <c r="I11" s="172">
        <v>40101.0</v>
      </c>
      <c r="J11" s="172">
        <v>40103.0</v>
      </c>
      <c r="K11" s="173"/>
      <c r="L11" s="173"/>
      <c r="O11" s="167"/>
      <c r="P11" s="166"/>
      <c r="Q11" s="166"/>
      <c r="R11" s="166"/>
      <c r="S11" s="166"/>
    </row>
    <row r="12">
      <c r="A12" s="168"/>
      <c r="B12" s="169"/>
      <c r="C12" s="171" t="s">
        <v>104</v>
      </c>
      <c r="D12" s="172">
        <v>51733.0</v>
      </c>
      <c r="E12" s="172">
        <v>55721.0</v>
      </c>
      <c r="F12" s="172">
        <v>62381.0</v>
      </c>
      <c r="G12" s="156"/>
      <c r="H12" s="156"/>
      <c r="I12" s="156"/>
      <c r="J12" s="156"/>
      <c r="K12" s="173"/>
      <c r="L12" s="173"/>
      <c r="O12" s="167"/>
      <c r="P12" s="166"/>
      <c r="Q12" s="166"/>
      <c r="R12" s="166"/>
      <c r="S12" s="166"/>
    </row>
    <row r="13">
      <c r="A13" s="168"/>
      <c r="B13" s="169"/>
      <c r="C13" s="156"/>
      <c r="D13" s="156"/>
      <c r="E13" s="156"/>
      <c r="F13" s="156"/>
      <c r="G13" s="171" t="s">
        <v>105</v>
      </c>
      <c r="H13" s="172">
        <v>677256.0</v>
      </c>
      <c r="I13" s="172">
        <v>755206.0</v>
      </c>
      <c r="J13" s="174">
        <v>642562.0</v>
      </c>
      <c r="K13" s="173"/>
      <c r="L13" s="173"/>
      <c r="O13" s="167"/>
      <c r="P13" s="166"/>
      <c r="Q13" s="166"/>
      <c r="R13" s="166"/>
      <c r="S13" s="166"/>
    </row>
    <row r="14">
      <c r="A14" s="168"/>
      <c r="B14" s="169"/>
      <c r="C14" s="170" t="s">
        <v>106</v>
      </c>
      <c r="D14" s="172">
        <v>369154.0</v>
      </c>
      <c r="E14" s="172">
        <v>372082.0</v>
      </c>
      <c r="F14" s="172">
        <v>535619.0</v>
      </c>
      <c r="G14" s="156"/>
      <c r="H14" s="156"/>
      <c r="I14" s="156"/>
      <c r="J14" s="156"/>
      <c r="K14" s="173"/>
      <c r="L14" s="173"/>
    </row>
    <row r="15">
      <c r="A15" s="168"/>
      <c r="B15" s="169"/>
      <c r="C15" s="156"/>
      <c r="D15" s="156"/>
      <c r="E15" s="156"/>
      <c r="F15" s="156"/>
      <c r="G15" s="175" t="s">
        <v>107</v>
      </c>
      <c r="H15" s="176">
        <f t="shared" ref="H15:J15" si="1">H13+H11+H10</f>
        <v>774462</v>
      </c>
      <c r="I15" s="177">
        <f t="shared" si="1"/>
        <v>852410</v>
      </c>
      <c r="J15" s="177">
        <f t="shared" si="1"/>
        <v>739768</v>
      </c>
      <c r="K15" s="173"/>
      <c r="L15" s="173"/>
    </row>
    <row r="16">
      <c r="A16" s="168"/>
      <c r="B16" s="169"/>
      <c r="C16" s="178" t="s">
        <v>108</v>
      </c>
      <c r="D16" s="172">
        <v>65402.0</v>
      </c>
      <c r="E16" s="172">
        <v>79444.0</v>
      </c>
      <c r="F16" s="172">
        <v>83492.0</v>
      </c>
      <c r="G16" s="156"/>
      <c r="H16" s="156"/>
      <c r="I16" s="156"/>
      <c r="J16" s="156"/>
      <c r="K16" s="173"/>
      <c r="L16" s="173"/>
    </row>
    <row r="17">
      <c r="A17" s="168"/>
      <c r="B17" s="169"/>
      <c r="C17" s="179" t="s">
        <v>109</v>
      </c>
      <c r="D17" s="172">
        <v>94957.0</v>
      </c>
      <c r="E17" s="172">
        <v>84323.0</v>
      </c>
      <c r="F17" s="172">
        <v>5405.0</v>
      </c>
      <c r="G17" s="180" t="s">
        <v>110</v>
      </c>
      <c r="H17" s="181">
        <f t="shared" ref="H17:J17" si="2">H18-H15</f>
        <v>-6</v>
      </c>
      <c r="I17" s="182">
        <f t="shared" si="2"/>
        <v>-4</v>
      </c>
      <c r="J17" s="182">
        <f t="shared" si="2"/>
        <v>16</v>
      </c>
      <c r="K17" s="173"/>
      <c r="L17" s="173"/>
    </row>
    <row r="18">
      <c r="A18" s="168"/>
      <c r="B18" s="169"/>
      <c r="C18" s="178" t="s">
        <v>111</v>
      </c>
      <c r="D18" s="172">
        <v>5360.0</v>
      </c>
      <c r="E18" s="172">
        <v>3287.0</v>
      </c>
      <c r="F18" s="172">
        <v>13520.0</v>
      </c>
      <c r="G18" s="183" t="s">
        <v>112</v>
      </c>
      <c r="H18" s="184">
        <v>774456.0</v>
      </c>
      <c r="I18" s="184">
        <v>852406.0</v>
      </c>
      <c r="J18" s="184">
        <v>739784.0</v>
      </c>
      <c r="K18" s="173"/>
      <c r="L18" s="173"/>
    </row>
    <row r="19">
      <c r="A19" s="168"/>
      <c r="B19" s="169"/>
      <c r="C19" s="178" t="s">
        <v>113</v>
      </c>
      <c r="D19" s="172">
        <v>5712.0</v>
      </c>
      <c r="E19" s="172">
        <v>4187.0</v>
      </c>
      <c r="F19" s="172">
        <v>3171.0</v>
      </c>
      <c r="G19" s="156"/>
      <c r="H19" s="156"/>
      <c r="I19" s="156"/>
      <c r="J19" s="156"/>
      <c r="K19" s="173"/>
      <c r="L19" s="173"/>
    </row>
    <row r="20">
      <c r="A20" s="168"/>
      <c r="B20" s="169"/>
      <c r="C20" s="156"/>
      <c r="D20" s="156"/>
      <c r="E20" s="156"/>
      <c r="F20" s="156"/>
      <c r="G20" s="164" t="s">
        <v>114</v>
      </c>
      <c r="H20" s="156"/>
      <c r="I20" s="156"/>
      <c r="J20" s="156"/>
      <c r="K20" s="173"/>
      <c r="L20" s="173"/>
    </row>
    <row r="21">
      <c r="A21" s="168"/>
      <c r="B21" s="169"/>
      <c r="C21" s="156"/>
      <c r="D21" s="156"/>
      <c r="E21" s="156"/>
      <c r="F21" s="156"/>
      <c r="G21" s="171" t="s">
        <v>115</v>
      </c>
      <c r="H21" s="172">
        <v>9405.0</v>
      </c>
      <c r="I21" s="172">
        <v>9178.0</v>
      </c>
      <c r="J21" s="172">
        <v>10442.0</v>
      </c>
      <c r="K21" s="173"/>
      <c r="L21" s="173"/>
    </row>
    <row r="22">
      <c r="A22" s="168"/>
      <c r="B22" s="169"/>
      <c r="C22" s="185" t="s">
        <v>116</v>
      </c>
      <c r="D22" s="172">
        <v>12412.0</v>
      </c>
      <c r="E22" s="172">
        <v>15029.0</v>
      </c>
      <c r="F22" s="174">
        <v>31352.0</v>
      </c>
      <c r="G22" s="171" t="s">
        <v>117</v>
      </c>
      <c r="H22" s="172">
        <v>21688.0</v>
      </c>
      <c r="I22" s="172">
        <v>20855.0</v>
      </c>
      <c r="J22" s="172">
        <v>29641.0</v>
      </c>
      <c r="K22" s="173"/>
      <c r="L22" s="173"/>
    </row>
    <row r="23">
      <c r="A23" s="168"/>
      <c r="B23" s="169"/>
      <c r="C23" s="186"/>
      <c r="D23" s="186"/>
      <c r="E23" s="186"/>
      <c r="F23" s="186"/>
      <c r="G23" s="178" t="s">
        <v>118</v>
      </c>
      <c r="H23" s="172">
        <v>296947.0</v>
      </c>
      <c r="I23" s="174">
        <v>338125.0</v>
      </c>
      <c r="J23" s="172">
        <v>496268.0</v>
      </c>
      <c r="K23" s="173"/>
      <c r="L23" s="173"/>
    </row>
    <row r="24">
      <c r="A24" s="48"/>
      <c r="B24" s="156"/>
      <c r="C24" s="187" t="s">
        <v>112</v>
      </c>
      <c r="D24" s="188">
        <f t="shared" ref="D24:F24" si="3">D11+D12+D14+D16+D17+D18+D19+D22</f>
        <v>989066</v>
      </c>
      <c r="E24" s="188">
        <f t="shared" si="3"/>
        <v>1014261</v>
      </c>
      <c r="F24" s="188">
        <f t="shared" si="3"/>
        <v>1203175</v>
      </c>
      <c r="G24" s="171" t="s">
        <v>119</v>
      </c>
      <c r="H24" s="172">
        <v>3437.0</v>
      </c>
      <c r="I24" s="172">
        <v>3045.0</v>
      </c>
      <c r="J24" s="174">
        <v>11373.0</v>
      </c>
      <c r="K24" s="173"/>
      <c r="L24" s="173"/>
    </row>
    <row r="25">
      <c r="A25" s="48"/>
      <c r="B25" s="156"/>
      <c r="C25" s="156"/>
      <c r="D25" s="156"/>
      <c r="E25" s="156"/>
      <c r="F25" s="48"/>
      <c r="G25" s="189" t="s">
        <v>120</v>
      </c>
      <c r="H25" s="172">
        <v>62475.0</v>
      </c>
      <c r="I25" s="172">
        <v>76336.0</v>
      </c>
      <c r="J25" s="172">
        <v>67029.0</v>
      </c>
      <c r="K25" s="173"/>
      <c r="L25" s="173"/>
    </row>
    <row r="26">
      <c r="A26" s="48"/>
      <c r="B26" s="156"/>
      <c r="C26" s="156"/>
      <c r="D26" s="156"/>
      <c r="E26" s="156"/>
      <c r="F26" s="48"/>
      <c r="G26" s="190" t="s">
        <v>121</v>
      </c>
      <c r="H26" s="191">
        <v>26554.0</v>
      </c>
      <c r="I26" s="191">
        <v>25896.0</v>
      </c>
      <c r="J26" s="191">
        <v>25439.0</v>
      </c>
      <c r="K26" s="173"/>
      <c r="L26" s="173"/>
    </row>
    <row r="27">
      <c r="A27" s="192" t="s">
        <v>122</v>
      </c>
      <c r="B27" s="157"/>
      <c r="C27" s="164" t="s">
        <v>123</v>
      </c>
      <c r="D27" s="156"/>
      <c r="E27" s="156"/>
      <c r="F27" s="156"/>
      <c r="G27" s="183" t="s">
        <v>124</v>
      </c>
      <c r="H27" s="193">
        <f t="shared" ref="H27:J27" si="4">H26+H25+H24+H23+H22+H21</f>
        <v>420506</v>
      </c>
      <c r="I27" s="193">
        <f t="shared" si="4"/>
        <v>473435</v>
      </c>
      <c r="J27" s="193">
        <f t="shared" si="4"/>
        <v>640192</v>
      </c>
      <c r="K27" s="173"/>
      <c r="L27" s="173"/>
    </row>
    <row r="28">
      <c r="A28" s="194"/>
      <c r="B28" s="195"/>
      <c r="C28" s="171" t="s">
        <v>125</v>
      </c>
      <c r="D28" s="156"/>
      <c r="E28" s="156"/>
      <c r="F28" s="156"/>
      <c r="G28" s="164" t="s">
        <v>126</v>
      </c>
      <c r="H28" s="156"/>
      <c r="I28" s="156"/>
      <c r="J28" s="156"/>
      <c r="K28" s="196" t="s">
        <v>127</v>
      </c>
    </row>
    <row r="29">
      <c r="A29" s="194"/>
      <c r="B29" s="195"/>
      <c r="C29" s="156"/>
      <c r="D29" s="197">
        <v>668080.0</v>
      </c>
      <c r="E29" s="198">
        <v>618296.0</v>
      </c>
      <c r="F29" s="199">
        <v>677057.0</v>
      </c>
      <c r="G29" s="178" t="s">
        <v>128</v>
      </c>
      <c r="H29" s="172">
        <v>75183.0</v>
      </c>
      <c r="I29" s="172">
        <v>60102.0</v>
      </c>
      <c r="J29" s="172">
        <v>150245.0</v>
      </c>
      <c r="K29" s="200"/>
      <c r="L29" s="200"/>
    </row>
    <row r="30">
      <c r="A30" s="194"/>
      <c r="B30" s="195"/>
      <c r="C30" s="171" t="s">
        <v>129</v>
      </c>
      <c r="D30" s="156"/>
      <c r="E30" s="156"/>
      <c r="F30" s="156"/>
      <c r="G30" s="178" t="s">
        <v>130</v>
      </c>
      <c r="H30" s="172">
        <v>16912.0</v>
      </c>
      <c r="I30" s="172">
        <v>18738.0</v>
      </c>
      <c r="J30" s="172">
        <v>17997.0</v>
      </c>
      <c r="K30" s="200"/>
      <c r="L30" s="200"/>
    </row>
    <row r="31">
      <c r="A31" s="194"/>
      <c r="B31" s="195"/>
      <c r="C31" s="171" t="s">
        <v>131</v>
      </c>
      <c r="D31" s="172">
        <v>305044.0</v>
      </c>
      <c r="E31" s="172">
        <v>343422.0</v>
      </c>
      <c r="F31" s="172">
        <v>311982.0</v>
      </c>
      <c r="G31" s="178" t="s">
        <v>132</v>
      </c>
      <c r="H31" s="172">
        <v>10524.0</v>
      </c>
      <c r="I31" s="172">
        <v>5033.0</v>
      </c>
      <c r="J31" s="172">
        <v>6625.0</v>
      </c>
      <c r="K31" s="200"/>
      <c r="L31" s="200"/>
    </row>
    <row r="32">
      <c r="A32" s="194"/>
      <c r="B32" s="195"/>
      <c r="C32" s="171" t="s">
        <v>133</v>
      </c>
      <c r="D32" s="172">
        <v>6260.0</v>
      </c>
      <c r="E32" s="172">
        <v>1914.0</v>
      </c>
      <c r="F32" s="172">
        <v>7952.0</v>
      </c>
      <c r="G32" s="178" t="s">
        <v>134</v>
      </c>
      <c r="H32" s="172">
        <v>687143.0</v>
      </c>
      <c r="I32" s="172">
        <v>690571.0</v>
      </c>
      <c r="J32" s="172">
        <v>653555.0</v>
      </c>
      <c r="K32" s="200"/>
      <c r="L32" s="200"/>
    </row>
    <row r="33">
      <c r="A33" s="194"/>
      <c r="B33" s="195"/>
      <c r="C33" s="171" t="s">
        <v>135</v>
      </c>
      <c r="D33" s="172">
        <v>11021.0</v>
      </c>
      <c r="E33" s="172">
        <v>5887.0</v>
      </c>
      <c r="F33" s="172">
        <v>8783.0</v>
      </c>
      <c r="G33" s="178" t="s">
        <v>136</v>
      </c>
      <c r="H33" s="172">
        <v>6643.0</v>
      </c>
      <c r="I33" s="172">
        <v>12127.0</v>
      </c>
      <c r="J33" s="172">
        <v>6337.0</v>
      </c>
      <c r="K33" s="200"/>
      <c r="L33" s="200"/>
    </row>
    <row r="34">
      <c r="A34" s="194"/>
      <c r="B34" s="195"/>
      <c r="C34" s="156"/>
      <c r="D34" s="156"/>
      <c r="E34" s="156"/>
      <c r="F34" s="156"/>
      <c r="G34" s="201" t="s">
        <v>137</v>
      </c>
      <c r="H34" s="191">
        <v>493.0</v>
      </c>
      <c r="I34" s="191">
        <v>422.0</v>
      </c>
      <c r="J34" s="191">
        <v>2345.0</v>
      </c>
      <c r="K34" s="200"/>
      <c r="L34" s="200"/>
    </row>
    <row r="35">
      <c r="A35" s="194"/>
      <c r="B35" s="195"/>
      <c r="C35" s="171" t="s">
        <v>138</v>
      </c>
      <c r="D35" s="172">
        <v>3382.0</v>
      </c>
      <c r="E35" s="172">
        <v>7790.0</v>
      </c>
      <c r="F35" s="172">
        <v>3237.0</v>
      </c>
      <c r="G35" s="183" t="s">
        <v>139</v>
      </c>
      <c r="H35" s="202">
        <f t="shared" ref="H35:J35" si="5">H34+H33+H32+H31+H30+H29</f>
        <v>796898</v>
      </c>
      <c r="I35" s="202">
        <f t="shared" si="5"/>
        <v>786993</v>
      </c>
      <c r="J35" s="193">
        <f t="shared" si="5"/>
        <v>837104</v>
      </c>
      <c r="K35" s="200"/>
      <c r="L35" s="200"/>
    </row>
    <row r="36">
      <c r="A36" s="203" t="s">
        <v>140</v>
      </c>
      <c r="B36" s="204"/>
      <c r="C36" s="180" t="s">
        <v>141</v>
      </c>
      <c r="D36" s="191">
        <v>9007.0</v>
      </c>
      <c r="E36" s="191">
        <v>121264.0</v>
      </c>
      <c r="F36" s="191">
        <v>4894.0</v>
      </c>
      <c r="G36" s="156"/>
      <c r="H36" s="156"/>
      <c r="I36" s="156"/>
      <c r="J36" s="156"/>
      <c r="K36" s="200"/>
      <c r="L36" s="200"/>
    </row>
    <row r="37">
      <c r="A37" s="48"/>
      <c r="B37" s="156"/>
      <c r="C37" s="187" t="s">
        <v>124</v>
      </c>
      <c r="D37" s="188">
        <f>D29+D31+D32+D33+D35+D36</f>
        <v>1002794</v>
      </c>
      <c r="E37" s="188">
        <f>E36+E35+E33+E32+E31+E29</f>
        <v>1098573</v>
      </c>
      <c r="F37" s="188">
        <f>F36+F35+F32+F33+F31+F29</f>
        <v>1013905</v>
      </c>
      <c r="G37" s="205"/>
      <c r="H37" s="206"/>
      <c r="I37" s="206"/>
      <c r="J37" s="206"/>
      <c r="K37" s="200"/>
      <c r="L37" s="200"/>
    </row>
    <row r="38">
      <c r="A38" s="48"/>
      <c r="B38" s="156"/>
      <c r="C38" s="171" t="s">
        <v>142</v>
      </c>
      <c r="D38" s="206">
        <v>0.0</v>
      </c>
      <c r="E38" s="206">
        <v>0.0</v>
      </c>
      <c r="F38" s="206">
        <v>200.0</v>
      </c>
      <c r="G38" s="156"/>
      <c r="H38" s="156"/>
      <c r="I38" s="156"/>
      <c r="J38" s="156"/>
      <c r="K38" s="200"/>
      <c r="L38" s="200"/>
    </row>
    <row r="39">
      <c r="A39" s="48"/>
      <c r="B39" s="156"/>
      <c r="C39" s="180" t="s">
        <v>143</v>
      </c>
      <c r="D39" s="207">
        <v>0.0</v>
      </c>
      <c r="E39" s="207">
        <v>0.0</v>
      </c>
      <c r="F39" s="207">
        <v>0.0</v>
      </c>
      <c r="G39" s="186"/>
      <c r="H39" s="186"/>
      <c r="I39" s="186"/>
      <c r="J39" s="186"/>
      <c r="K39" s="200"/>
      <c r="L39" s="200"/>
    </row>
    <row r="40">
      <c r="A40" s="48"/>
      <c r="B40" s="156"/>
      <c r="C40" s="187" t="s">
        <v>144</v>
      </c>
      <c r="D40" s="188">
        <f t="shared" ref="D40:F40" si="6">D24+D37</f>
        <v>1991860</v>
      </c>
      <c r="E40" s="188">
        <f t="shared" si="6"/>
        <v>2112834</v>
      </c>
      <c r="F40" s="188">
        <f t="shared" si="6"/>
        <v>2217080</v>
      </c>
      <c r="G40" s="187" t="s">
        <v>144</v>
      </c>
      <c r="H40" s="188">
        <f t="shared" ref="H40:J40" si="7">H35+H27+H18</f>
        <v>1991860</v>
      </c>
      <c r="I40" s="188">
        <f t="shared" si="7"/>
        <v>2112834</v>
      </c>
      <c r="J40" s="188">
        <f t="shared" si="7"/>
        <v>2217080</v>
      </c>
      <c r="K40" s="48"/>
      <c r="L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</sheetData>
  <mergeCells count="5">
    <mergeCell ref="C1:J5"/>
    <mergeCell ref="A9:B9"/>
    <mergeCell ref="K9:L9"/>
    <mergeCell ref="A27:B27"/>
    <mergeCell ref="K28:L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9" max="9" width="16.88"/>
  </cols>
  <sheetData>
    <row r="1">
      <c r="A1" s="208" t="s">
        <v>145</v>
      </c>
      <c r="B1" s="208" t="s">
        <v>146</v>
      </c>
      <c r="C1" s="208" t="s">
        <v>147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209">
        <v>44928.0</v>
      </c>
      <c r="B2" s="210">
        <v>12.996069</v>
      </c>
      <c r="C2" s="211">
        <v>7757.0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209">
        <v>44929.0</v>
      </c>
      <c r="B3" s="210">
        <v>13.191499</v>
      </c>
      <c r="C3" s="211">
        <v>12405.0</v>
      </c>
      <c r="D3" s="48"/>
      <c r="E3" s="212" t="s">
        <v>148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209">
        <v>44930.0</v>
      </c>
      <c r="B4" s="210">
        <v>13.386929</v>
      </c>
      <c r="C4" s="211">
        <v>18168.0</v>
      </c>
      <c r="D4" s="48"/>
      <c r="E4" s="210">
        <f>AVERAGE(B2:B773)</f>
        <v>11.28556193</v>
      </c>
      <c r="F4" s="48"/>
      <c r="G4" s="213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209">
        <v>44931.0</v>
      </c>
      <c r="B5" s="210">
        <v>13.26967</v>
      </c>
      <c r="C5" s="211">
        <v>4342.0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209">
        <v>44932.0</v>
      </c>
      <c r="B6" s="210">
        <v>13.211042</v>
      </c>
      <c r="C6" s="211">
        <v>5404.0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209">
        <v>44935.0</v>
      </c>
      <c r="B7" s="210">
        <v>13.230585</v>
      </c>
      <c r="C7" s="211">
        <v>11223.0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209">
        <v>44936.0</v>
      </c>
      <c r="B8" s="210">
        <v>13.289214</v>
      </c>
      <c r="C8" s="211">
        <v>2590.0</v>
      </c>
      <c r="D8" s="45"/>
      <c r="E8" s="214" t="s">
        <v>149</v>
      </c>
      <c r="F8" s="45"/>
      <c r="G8" s="45"/>
      <c r="H8" s="45"/>
      <c r="I8" s="45"/>
      <c r="J8" s="45"/>
      <c r="K8" s="45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209">
        <v>44937.0</v>
      </c>
      <c r="B9" s="210">
        <v>13.289214</v>
      </c>
      <c r="C9" s="211">
        <v>10325.0</v>
      </c>
      <c r="D9" s="45"/>
      <c r="E9" s="215" t="s">
        <v>150</v>
      </c>
      <c r="F9" s="215" t="s">
        <v>151</v>
      </c>
      <c r="G9" s="215" t="s">
        <v>152</v>
      </c>
      <c r="H9" s="215" t="s">
        <v>153</v>
      </c>
      <c r="I9" s="216" t="s">
        <v>154</v>
      </c>
      <c r="J9" s="45"/>
      <c r="K9" s="45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209">
        <v>44938.0</v>
      </c>
      <c r="B10" s="210">
        <v>13.347842</v>
      </c>
      <c r="C10" s="211">
        <v>6645.0</v>
      </c>
      <c r="D10" s="45"/>
      <c r="E10" s="217">
        <v>0.016</v>
      </c>
      <c r="F10" s="217">
        <v>0.5</v>
      </c>
      <c r="G10" s="217">
        <v>0.1118</v>
      </c>
      <c r="H10" s="217">
        <v>0.0281</v>
      </c>
      <c r="I10" s="217">
        <v>0.25</v>
      </c>
      <c r="J10" s="67"/>
      <c r="K10" s="45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209">
        <v>44939.0</v>
      </c>
      <c r="B11" s="210">
        <v>13.777788</v>
      </c>
      <c r="C11" s="211">
        <v>26299.0</v>
      </c>
      <c r="D11" s="45"/>
      <c r="E11" s="45"/>
      <c r="F11" s="45"/>
      <c r="G11" s="45"/>
      <c r="H11" s="45"/>
      <c r="I11" s="45"/>
      <c r="J11" s="45"/>
      <c r="K11" s="45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209">
        <v>44942.0</v>
      </c>
      <c r="B12" s="210">
        <v>14.070931</v>
      </c>
      <c r="C12" s="211">
        <v>16225.0</v>
      </c>
      <c r="D12" s="48"/>
      <c r="E12" s="218" t="s">
        <v>155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209">
        <v>44943.0</v>
      </c>
      <c r="B13" s="210">
        <v>13.621444</v>
      </c>
      <c r="C13" s="211">
        <v>21287.0</v>
      </c>
      <c r="D13" s="48"/>
      <c r="E13" s="219">
        <f>H10+F10*(G10-H10)</f>
        <v>0.06995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209">
        <v>44944.0</v>
      </c>
      <c r="B14" s="210">
        <v>13.543272</v>
      </c>
      <c r="C14" s="211">
        <v>12898.0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209">
        <v>44945.0</v>
      </c>
      <c r="B15" s="210">
        <v>13.171955</v>
      </c>
      <c r="C15" s="211">
        <v>16958.0</v>
      </c>
      <c r="D15" s="48"/>
      <c r="E15" s="218" t="s">
        <v>156</v>
      </c>
      <c r="F15" s="218" t="s">
        <v>157</v>
      </c>
      <c r="G15" s="218" t="s">
        <v>158</v>
      </c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209">
        <v>44946.0</v>
      </c>
      <c r="B16" s="210">
        <v>12.898355</v>
      </c>
      <c r="C16" s="211">
        <v>6840.0</v>
      </c>
      <c r="D16" s="48"/>
      <c r="E16" s="48">
        <f>Ratios!D16/(Ratios!D16+Ratios!D4)</f>
        <v>0.1017300653</v>
      </c>
      <c r="F16" s="48">
        <f>Ratios!D4/(Ratios!D4+Ratios!D16)</f>
        <v>0.8982699347</v>
      </c>
      <c r="G16" s="219">
        <f>1-I10</f>
        <v>0.75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209">
        <v>44949.0</v>
      </c>
      <c r="B17" s="210">
        <v>12.566124</v>
      </c>
      <c r="C17" s="211">
        <v>29590.0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209">
        <v>44950.0</v>
      </c>
      <c r="B18" s="210">
        <v>12.429323</v>
      </c>
      <c r="C18" s="211">
        <v>14862.0</v>
      </c>
      <c r="D18" s="48"/>
      <c r="E18" s="220" t="s">
        <v>159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209">
        <v>44951.0</v>
      </c>
      <c r="B19" s="210">
        <v>12.487952</v>
      </c>
      <c r="C19" s="211">
        <v>8377.0</v>
      </c>
      <c r="D19" s="48"/>
      <c r="E19" s="221">
        <f>F16*E13+E16*E10*G16</f>
        <v>0.06405474272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209">
        <v>44952.0</v>
      </c>
      <c r="B20" s="210">
        <v>12.448866</v>
      </c>
      <c r="C20" s="211">
        <v>8319.0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209">
        <v>44953.0</v>
      </c>
      <c r="B21" s="210">
        <v>12.605209</v>
      </c>
      <c r="C21" s="211">
        <v>6578.0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209">
        <v>44956.0</v>
      </c>
      <c r="B22" s="210">
        <v>12.175264</v>
      </c>
      <c r="C22" s="211">
        <v>16145.0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209">
        <v>44957.0</v>
      </c>
      <c r="B23" s="210">
        <v>12.058007</v>
      </c>
      <c r="C23" s="211">
        <v>12500.0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209">
        <v>44958.0</v>
      </c>
      <c r="B24" s="210">
        <v>12.585667</v>
      </c>
      <c r="C24" s="211">
        <v>10309.0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209">
        <v>44959.0</v>
      </c>
      <c r="B25" s="210">
        <v>12.487952</v>
      </c>
      <c r="C25" s="211">
        <v>16130.0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209">
        <v>44960.0</v>
      </c>
      <c r="B26" s="210">
        <v>12.487952</v>
      </c>
      <c r="C26" s="211">
        <v>11379.0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209">
        <v>44963.0</v>
      </c>
      <c r="B27" s="210">
        <v>12.624753</v>
      </c>
      <c r="C27" s="211">
        <v>17979.0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209">
        <v>44964.0</v>
      </c>
      <c r="B28" s="210">
        <v>13.074241</v>
      </c>
      <c r="C28" s="211">
        <v>21934.0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209">
        <v>44965.0</v>
      </c>
      <c r="B29" s="210">
        <v>12.878812</v>
      </c>
      <c r="C29" s="211">
        <v>17801.0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209">
        <v>44966.0</v>
      </c>
      <c r="B30" s="210">
        <v>13.074241</v>
      </c>
      <c r="C30" s="211">
        <v>7474.0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209">
        <v>44967.0</v>
      </c>
      <c r="B31" s="210">
        <v>12.976526</v>
      </c>
      <c r="C31" s="211">
        <v>16245.0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209">
        <v>44970.0</v>
      </c>
      <c r="B32" s="210">
        <v>13.26967</v>
      </c>
      <c r="C32" s="211">
        <v>9758.0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209">
        <v>44971.0</v>
      </c>
      <c r="B33" s="210">
        <v>13.308757</v>
      </c>
      <c r="C33" s="211">
        <v>26376.0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209">
        <v>44972.0</v>
      </c>
      <c r="B34" s="210">
        <v>13.4651</v>
      </c>
      <c r="C34" s="211">
        <v>17454.0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209">
        <v>44973.0</v>
      </c>
      <c r="B35" s="210">
        <v>13.289214</v>
      </c>
      <c r="C35" s="211">
        <v>9247.0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209">
        <v>44974.0</v>
      </c>
      <c r="B36" s="210">
        <v>13.26967</v>
      </c>
      <c r="C36" s="211">
        <v>8908.0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209">
        <v>44977.0</v>
      </c>
      <c r="B37" s="210">
        <v>13.4651</v>
      </c>
      <c r="C37" s="211">
        <v>7179.0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209">
        <v>44978.0</v>
      </c>
      <c r="B38" s="210">
        <v>13.250128</v>
      </c>
      <c r="C38" s="211">
        <v>12601.0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209">
        <v>44979.0</v>
      </c>
      <c r="B39" s="210">
        <v>13.152412</v>
      </c>
      <c r="C39" s="211">
        <v>8758.0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209">
        <v>44980.0</v>
      </c>
      <c r="B40" s="210">
        <v>13.386929</v>
      </c>
      <c r="C40" s="211">
        <v>6690.0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209">
        <v>44981.0</v>
      </c>
      <c r="B41" s="210">
        <v>13.211042</v>
      </c>
      <c r="C41" s="211">
        <v>6119.0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209">
        <v>44984.0</v>
      </c>
      <c r="B42" s="210">
        <v>13.250128</v>
      </c>
      <c r="C42" s="211">
        <v>10612.0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209">
        <v>44985.0</v>
      </c>
      <c r="B43" s="210">
        <v>12.781096</v>
      </c>
      <c r="C43" s="211">
        <v>33958.0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209">
        <v>44986.0</v>
      </c>
      <c r="B44" s="210">
        <v>12.820183</v>
      </c>
      <c r="C44" s="211">
        <v>11371.0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209">
        <v>44987.0</v>
      </c>
      <c r="B45" s="210">
        <v>12.996069</v>
      </c>
      <c r="C45" s="211">
        <v>10451.0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209">
        <v>44988.0</v>
      </c>
      <c r="B46" s="210">
        <v>13.738702</v>
      </c>
      <c r="C46" s="211">
        <v>70537.0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209">
        <v>44991.0</v>
      </c>
      <c r="B47" s="210">
        <v>13.13287</v>
      </c>
      <c r="C47" s="211">
        <v>43737.0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209">
        <v>44992.0</v>
      </c>
      <c r="B48" s="210">
        <v>13.035155</v>
      </c>
      <c r="C48" s="211">
        <v>29973.0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209">
        <v>44993.0</v>
      </c>
      <c r="B49" s="210">
        <v>13.250128</v>
      </c>
      <c r="C49" s="211">
        <v>19458.0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209">
        <v>44994.0</v>
      </c>
      <c r="B50" s="210">
        <v>13.211042</v>
      </c>
      <c r="C50" s="211">
        <v>19019.0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209">
        <v>44995.0</v>
      </c>
      <c r="B51" s="210">
        <v>12.859268</v>
      </c>
      <c r="C51" s="211">
        <v>29953.0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209">
        <v>44998.0</v>
      </c>
      <c r="B52" s="210">
        <v>12.487952</v>
      </c>
      <c r="C52" s="211">
        <v>27666.0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209">
        <v>44999.0</v>
      </c>
      <c r="B53" s="210">
        <v>12.605209</v>
      </c>
      <c r="C53" s="211">
        <v>30319.0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209">
        <v>45000.0</v>
      </c>
      <c r="B54" s="210">
        <v>12.214351</v>
      </c>
      <c r="C54" s="211">
        <v>10462.0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209">
        <v>45001.0</v>
      </c>
      <c r="B55" s="210">
        <v>12.292522</v>
      </c>
      <c r="C55" s="211">
        <v>20727.0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209">
        <v>45002.0</v>
      </c>
      <c r="B56" s="210">
        <v>12.155722</v>
      </c>
      <c r="C56" s="211">
        <v>11703.0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209">
        <v>45005.0</v>
      </c>
      <c r="B57" s="210">
        <v>12.097093</v>
      </c>
      <c r="C57" s="211">
        <v>18260.0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209">
        <v>45006.0</v>
      </c>
      <c r="B58" s="210">
        <v>12.097093</v>
      </c>
      <c r="C58" s="211">
        <v>16866.0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209">
        <v>45007.0</v>
      </c>
      <c r="B59" s="210">
        <v>12.058007</v>
      </c>
      <c r="C59" s="211">
        <v>28436.0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209">
        <v>45008.0</v>
      </c>
      <c r="B60" s="210">
        <v>12.194807</v>
      </c>
      <c r="C60" s="211">
        <v>12207.0</v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209">
        <v>45009.0</v>
      </c>
      <c r="B61" s="210">
        <v>11.862577</v>
      </c>
      <c r="C61" s="211">
        <v>20784.0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209">
        <v>45012.0</v>
      </c>
      <c r="B62" s="210">
        <v>11.803948</v>
      </c>
      <c r="C62" s="211">
        <v>12473.0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209">
        <v>45013.0</v>
      </c>
      <c r="B63" s="210">
        <v>11.608519</v>
      </c>
      <c r="C63" s="211">
        <v>15729.0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209">
        <v>45014.0</v>
      </c>
      <c r="B64" s="210">
        <v>11.725777</v>
      </c>
      <c r="C64" s="211">
        <v>12713.0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209">
        <v>45015.0</v>
      </c>
      <c r="B65" s="210">
        <v>11.764863</v>
      </c>
      <c r="C65" s="211">
        <v>10218.0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209">
        <v>45016.0</v>
      </c>
      <c r="B66" s="210">
        <v>11.74532</v>
      </c>
      <c r="C66" s="211">
        <v>18459.0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209">
        <v>45019.0</v>
      </c>
      <c r="B67" s="210">
        <v>11.628061</v>
      </c>
      <c r="C67" s="211">
        <v>14710.0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209">
        <v>45020.0</v>
      </c>
      <c r="B68" s="210">
        <v>11.530347</v>
      </c>
      <c r="C68" s="211">
        <v>30748.0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209">
        <v>45021.0</v>
      </c>
      <c r="B69" s="210">
        <v>11.237203</v>
      </c>
      <c r="C69" s="211">
        <v>17392.0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209">
        <v>45022.0</v>
      </c>
      <c r="B70" s="210">
        <v>11.237203</v>
      </c>
      <c r="C70" s="211">
        <v>11423.0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209">
        <v>45027.0</v>
      </c>
      <c r="B71" s="210">
        <v>11.276289</v>
      </c>
      <c r="C71" s="211">
        <v>12281.0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209">
        <v>45028.0</v>
      </c>
      <c r="B72" s="210">
        <v>11.295832</v>
      </c>
      <c r="C72" s="211">
        <v>25601.0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209">
        <v>45029.0</v>
      </c>
      <c r="B73" s="210">
        <v>11.276289</v>
      </c>
      <c r="C73" s="211">
        <v>23435.0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209">
        <v>45030.0</v>
      </c>
      <c r="B74" s="210">
        <v>11.256746</v>
      </c>
      <c r="C74" s="211">
        <v>15107.0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209">
        <v>45033.0</v>
      </c>
      <c r="B75" s="210">
        <v>11.334918</v>
      </c>
      <c r="C75" s="211">
        <v>19577.0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209">
        <v>45034.0</v>
      </c>
      <c r="B76" s="210">
        <v>11.452175</v>
      </c>
      <c r="C76" s="211">
        <v>8039.0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209">
        <v>45035.0</v>
      </c>
      <c r="B77" s="210">
        <v>11.354461</v>
      </c>
      <c r="C77" s="211">
        <v>12997.0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209">
        <v>45036.0</v>
      </c>
      <c r="B78" s="210">
        <v>11.315374</v>
      </c>
      <c r="C78" s="211">
        <v>15925.0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209">
        <v>45037.0</v>
      </c>
      <c r="B79" s="210">
        <v>11.295832</v>
      </c>
      <c r="C79" s="211">
        <v>12370.0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209">
        <v>45040.0</v>
      </c>
      <c r="B80" s="210">
        <v>11.178574</v>
      </c>
      <c r="C80" s="211">
        <v>9209.0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209">
        <v>45041.0</v>
      </c>
      <c r="B81" s="210">
        <v>10.963601</v>
      </c>
      <c r="C81" s="211">
        <v>19796.0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209">
        <v>45042.0</v>
      </c>
      <c r="B82" s="210">
        <v>11.02223</v>
      </c>
      <c r="C82" s="211">
        <v>30231.0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209">
        <v>45043.0</v>
      </c>
      <c r="B83" s="210">
        <v>11.100402</v>
      </c>
      <c r="C83" s="211">
        <v>18131.0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209">
        <v>45044.0</v>
      </c>
      <c r="B84" s="210">
        <v>11.178574</v>
      </c>
      <c r="C84" s="211">
        <v>7946.0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209">
        <v>45048.0</v>
      </c>
      <c r="B85" s="210">
        <v>11.491261</v>
      </c>
      <c r="C85" s="211">
        <v>16108.0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209">
        <v>45049.0</v>
      </c>
      <c r="B86" s="210">
        <v>11.178574</v>
      </c>
      <c r="C86" s="211">
        <v>16216.0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209">
        <v>45050.0</v>
      </c>
      <c r="B87" s="210">
        <v>11.334918</v>
      </c>
      <c r="C87" s="211">
        <v>12139.0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209">
        <v>45051.0</v>
      </c>
      <c r="B88" s="210">
        <v>11.276289</v>
      </c>
      <c r="C88" s="211">
        <v>13392.0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209">
        <v>45054.0</v>
      </c>
      <c r="B89" s="210">
        <v>11.139487</v>
      </c>
      <c r="C89" s="211">
        <v>5882.0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209">
        <v>45055.0</v>
      </c>
      <c r="B90" s="210">
        <v>11.02223</v>
      </c>
      <c r="C90" s="211">
        <v>20050.0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209">
        <v>45056.0</v>
      </c>
      <c r="B91" s="210">
        <v>11.02223</v>
      </c>
      <c r="C91" s="211">
        <v>8601.0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209">
        <v>45057.0</v>
      </c>
      <c r="B92" s="210">
        <v>11.02223</v>
      </c>
      <c r="C92" s="211">
        <v>28814.0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209">
        <v>45058.0</v>
      </c>
      <c r="B93" s="210">
        <v>10.963601</v>
      </c>
      <c r="C93" s="211">
        <v>10945.0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209">
        <v>45061.0</v>
      </c>
      <c r="B94" s="210">
        <v>10.885429</v>
      </c>
      <c r="C94" s="211">
        <v>8296.0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209">
        <v>45062.0</v>
      </c>
      <c r="B95" s="210">
        <v>10.846344</v>
      </c>
      <c r="C95" s="211">
        <v>12592.0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209">
        <v>45063.0</v>
      </c>
      <c r="B96" s="210">
        <v>10.8268</v>
      </c>
      <c r="C96" s="211">
        <v>9343.0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209">
        <v>45064.0</v>
      </c>
      <c r="B97" s="210">
        <v>10.8268</v>
      </c>
      <c r="C97" s="211">
        <v>8511.0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209">
        <v>45065.0</v>
      </c>
      <c r="B98" s="210">
        <v>10.807258</v>
      </c>
      <c r="C98" s="211">
        <v>15503.0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209">
        <v>45068.0</v>
      </c>
      <c r="B99" s="210">
        <v>11.061316</v>
      </c>
      <c r="C99" s="211">
        <v>12730.0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209">
        <v>45069.0</v>
      </c>
      <c r="B100" s="210">
        <v>11.647605</v>
      </c>
      <c r="C100" s="211">
        <v>21809.0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209">
        <v>45070.0</v>
      </c>
      <c r="B101" s="210">
        <v>11.256746</v>
      </c>
      <c r="C101" s="211">
        <v>45686.0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209">
        <v>45071.0</v>
      </c>
      <c r="B102" s="210">
        <v>11.334918</v>
      </c>
      <c r="C102" s="211">
        <v>17427.0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209">
        <v>45072.0</v>
      </c>
      <c r="B103" s="210">
        <v>11.471718</v>
      </c>
      <c r="C103" s="211">
        <v>17640.0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209">
        <v>45075.0</v>
      </c>
      <c r="B104" s="210">
        <v>11.647605</v>
      </c>
      <c r="C104" s="211">
        <v>9848.0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209">
        <v>45076.0</v>
      </c>
      <c r="B105" s="210">
        <v>11.432632</v>
      </c>
      <c r="C105" s="211">
        <v>7904.0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209">
        <v>45077.0</v>
      </c>
      <c r="B106" s="210">
        <v>11.256746</v>
      </c>
      <c r="C106" s="211">
        <v>16868.0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209">
        <v>45078.0</v>
      </c>
      <c r="B107" s="210">
        <v>11.334918</v>
      </c>
      <c r="C107" s="211">
        <v>8761.0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209">
        <v>45079.0</v>
      </c>
      <c r="B108" s="210">
        <v>11.452175</v>
      </c>
      <c r="C108" s="211">
        <v>6954.0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209">
        <v>45082.0</v>
      </c>
      <c r="B109" s="210">
        <v>11.432632</v>
      </c>
      <c r="C109" s="211">
        <v>6482.0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209">
        <v>45083.0</v>
      </c>
      <c r="B110" s="210">
        <v>11.491261</v>
      </c>
      <c r="C110" s="211">
        <v>4654.0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209">
        <v>45084.0</v>
      </c>
      <c r="B111" s="210">
        <v>11.725777</v>
      </c>
      <c r="C111" s="211">
        <v>19931.0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209">
        <v>45085.0</v>
      </c>
      <c r="B112" s="210">
        <v>11.530347</v>
      </c>
      <c r="C112" s="211">
        <v>8014.0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209">
        <v>45086.0</v>
      </c>
      <c r="B113" s="210">
        <v>11.530347</v>
      </c>
      <c r="C113" s="211">
        <v>7563.0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209">
        <v>45089.0</v>
      </c>
      <c r="B114" s="210">
        <v>11.569433</v>
      </c>
      <c r="C114" s="211">
        <v>11080.0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209">
        <v>45090.0</v>
      </c>
      <c r="B115" s="210">
        <v>11.667148</v>
      </c>
      <c r="C115" s="211">
        <v>11087.0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209">
        <v>45091.0</v>
      </c>
      <c r="B116" s="210">
        <v>11.667148</v>
      </c>
      <c r="C116" s="211">
        <v>14001.0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209">
        <v>45092.0</v>
      </c>
      <c r="B117" s="210">
        <v>11.74532</v>
      </c>
      <c r="C117" s="211">
        <v>4687.0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209">
        <v>45093.0</v>
      </c>
      <c r="B118" s="210">
        <v>11.588976</v>
      </c>
      <c r="C118" s="211">
        <v>12139.0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209">
        <v>45096.0</v>
      </c>
      <c r="B119" s="210">
        <v>11.432632</v>
      </c>
      <c r="C119" s="211">
        <v>22563.0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209">
        <v>45097.0</v>
      </c>
      <c r="B120" s="210">
        <v>11.354461</v>
      </c>
      <c r="C120" s="211">
        <v>14859.0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209">
        <v>45098.0</v>
      </c>
      <c r="B121" s="210">
        <v>11.334918</v>
      </c>
      <c r="C121" s="211">
        <v>7555.0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209">
        <v>45099.0</v>
      </c>
      <c r="B122" s="210">
        <v>11.491261</v>
      </c>
      <c r="C122" s="211">
        <v>13360.0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209">
        <v>45100.0</v>
      </c>
      <c r="B123" s="210">
        <v>11.139487</v>
      </c>
      <c r="C123" s="211">
        <v>30618.0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209">
        <v>45103.0</v>
      </c>
      <c r="B124" s="210">
        <v>10.963601</v>
      </c>
      <c r="C124" s="211">
        <v>13645.0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209">
        <v>45104.0</v>
      </c>
      <c r="B125" s="210">
        <v>11.178574</v>
      </c>
      <c r="C125" s="211">
        <v>5979.0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209">
        <v>45105.0</v>
      </c>
      <c r="B126" s="210">
        <v>11.080859</v>
      </c>
      <c r="C126" s="211">
        <v>16638.0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209">
        <v>45106.0</v>
      </c>
      <c r="B127" s="210">
        <v>10.963601</v>
      </c>
      <c r="C127" s="211">
        <v>22373.0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209">
        <v>45107.0</v>
      </c>
      <c r="B128" s="210">
        <v>10.846344</v>
      </c>
      <c r="C128" s="211">
        <v>25174.0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209">
        <v>45110.0</v>
      </c>
      <c r="B129" s="210">
        <v>10.846344</v>
      </c>
      <c r="C129" s="211">
        <v>6515.0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209">
        <v>45111.0</v>
      </c>
      <c r="B130" s="210">
        <v>10.846344</v>
      </c>
      <c r="C130" s="211">
        <v>7424.0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209">
        <v>45112.0</v>
      </c>
      <c r="B131" s="210">
        <v>10.807258</v>
      </c>
      <c r="C131" s="211">
        <v>10158.0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209">
        <v>45113.0</v>
      </c>
      <c r="B132" s="210">
        <v>10.611828</v>
      </c>
      <c r="C132" s="211">
        <v>18586.0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209">
        <v>45114.0</v>
      </c>
      <c r="B133" s="210">
        <v>10.748629</v>
      </c>
      <c r="C133" s="211">
        <v>8298.0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209">
        <v>45117.0</v>
      </c>
      <c r="B134" s="210">
        <v>10.807258</v>
      </c>
      <c r="C134" s="211">
        <v>9557.0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209">
        <v>45118.0</v>
      </c>
      <c r="B135" s="210">
        <v>10.8268</v>
      </c>
      <c r="C135" s="211">
        <v>35745.0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209">
        <v>45119.0</v>
      </c>
      <c r="B136" s="210">
        <v>11.061316</v>
      </c>
      <c r="C136" s="211">
        <v>15146.0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209">
        <v>45120.0</v>
      </c>
      <c r="B137" s="210">
        <v>11.041773</v>
      </c>
      <c r="C137" s="211">
        <v>8162.0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209">
        <v>45121.0</v>
      </c>
      <c r="B138" s="210">
        <v>10.904972</v>
      </c>
      <c r="C138" s="211">
        <v>6160.0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209">
        <v>45124.0</v>
      </c>
      <c r="B139" s="210">
        <v>10.729085</v>
      </c>
      <c r="C139" s="211">
        <v>18961.0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209">
        <v>45125.0</v>
      </c>
      <c r="B140" s="210">
        <v>10.631371</v>
      </c>
      <c r="C140" s="211">
        <v>16034.0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209">
        <v>45126.0</v>
      </c>
      <c r="B141" s="210">
        <v>10.670457</v>
      </c>
      <c r="C141" s="211">
        <v>11331.0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209">
        <v>45127.0</v>
      </c>
      <c r="B142" s="210">
        <v>10.768172</v>
      </c>
      <c r="C142" s="211">
        <v>8326.0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209">
        <v>45128.0</v>
      </c>
      <c r="B143" s="210">
        <v>10.670457</v>
      </c>
      <c r="C143" s="211">
        <v>12570.0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209">
        <v>45131.0</v>
      </c>
      <c r="B144" s="210">
        <v>10.768172</v>
      </c>
      <c r="C144" s="211">
        <v>18069.0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209">
        <v>45132.0</v>
      </c>
      <c r="B145" s="210">
        <v>10.650913</v>
      </c>
      <c r="C145" s="211">
        <v>9264.0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209">
        <v>45133.0</v>
      </c>
      <c r="B146" s="210">
        <v>10.592285</v>
      </c>
      <c r="C146" s="211">
        <v>14897.0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209">
        <v>45134.0</v>
      </c>
      <c r="B147" s="210">
        <v>10.631371</v>
      </c>
      <c r="C147" s="211">
        <v>30570.0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209">
        <v>45135.0</v>
      </c>
      <c r="B148" s="210">
        <v>10.670457</v>
      </c>
      <c r="C148" s="211">
        <v>35839.0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209">
        <v>45138.0</v>
      </c>
      <c r="B149" s="210">
        <v>10.572742</v>
      </c>
      <c r="C149" s="211">
        <v>28206.0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209">
        <v>45139.0</v>
      </c>
      <c r="B150" s="210">
        <v>10.533656</v>
      </c>
      <c r="C150" s="211">
        <v>17102.0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209">
        <v>45140.0</v>
      </c>
      <c r="B151" s="210">
        <v>10.377313</v>
      </c>
      <c r="C151" s="211">
        <v>28336.0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209">
        <v>45141.0</v>
      </c>
      <c r="B152" s="210">
        <v>10.377313</v>
      </c>
      <c r="C152" s="211">
        <v>31887.0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209">
        <v>45142.0</v>
      </c>
      <c r="B153" s="210">
        <v>10.318684</v>
      </c>
      <c r="C153" s="211">
        <v>17480.0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209">
        <v>45145.0</v>
      </c>
      <c r="B154" s="210">
        <v>10.983144</v>
      </c>
      <c r="C154" s="211">
        <v>62841.0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209">
        <v>45146.0</v>
      </c>
      <c r="B155" s="210">
        <v>11.315374</v>
      </c>
      <c r="C155" s="211">
        <v>71963.0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209">
        <v>45147.0</v>
      </c>
      <c r="B156" s="210">
        <v>11.198116</v>
      </c>
      <c r="C156" s="211">
        <v>33011.0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209">
        <v>45148.0</v>
      </c>
      <c r="B157" s="210">
        <v>11.100402</v>
      </c>
      <c r="C157" s="211">
        <v>12999.0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209">
        <v>45149.0</v>
      </c>
      <c r="B158" s="210">
        <v>11.139487</v>
      </c>
      <c r="C158" s="211">
        <v>13816.0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209">
        <v>45152.0</v>
      </c>
      <c r="B159" s="210">
        <v>10.904972</v>
      </c>
      <c r="C159" s="211">
        <v>36120.0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209">
        <v>45153.0</v>
      </c>
      <c r="B160" s="210">
        <v>10.885429</v>
      </c>
      <c r="C160" s="211">
        <v>17493.0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209">
        <v>45154.0</v>
      </c>
      <c r="B161" s="210">
        <v>11.119945</v>
      </c>
      <c r="C161" s="211">
        <v>18082.0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209">
        <v>45155.0</v>
      </c>
      <c r="B162" s="210">
        <v>10.904972</v>
      </c>
      <c r="C162" s="211">
        <v>11157.0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209">
        <v>45156.0</v>
      </c>
      <c r="B163" s="210">
        <v>10.807258</v>
      </c>
      <c r="C163" s="211">
        <v>16521.0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209">
        <v>45159.0</v>
      </c>
      <c r="B164" s="210">
        <v>10.670457</v>
      </c>
      <c r="C164" s="211">
        <v>11559.0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209">
        <v>45160.0</v>
      </c>
      <c r="B165" s="210">
        <v>10.572742</v>
      </c>
      <c r="C165" s="211">
        <v>7457.0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209">
        <v>45161.0</v>
      </c>
      <c r="B166" s="210">
        <v>10.611828</v>
      </c>
      <c r="C166" s="211">
        <v>11867.0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209">
        <v>45162.0</v>
      </c>
      <c r="B167" s="210">
        <v>10.748629</v>
      </c>
      <c r="C167" s="211">
        <v>8270.0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209">
        <v>45163.0</v>
      </c>
      <c r="B168" s="210">
        <v>10.8268</v>
      </c>
      <c r="C168" s="211">
        <v>13184.0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209">
        <v>45166.0</v>
      </c>
      <c r="B169" s="210">
        <v>10.846344</v>
      </c>
      <c r="C169" s="211">
        <v>11488.0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209">
        <v>45167.0</v>
      </c>
      <c r="B170" s="210">
        <v>10.846344</v>
      </c>
      <c r="C170" s="211">
        <v>6465.0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209">
        <v>45168.0</v>
      </c>
      <c r="B171" s="210">
        <v>10.768172</v>
      </c>
      <c r="C171" s="211">
        <v>9225.0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209">
        <v>45169.0</v>
      </c>
      <c r="B172" s="210">
        <v>10.748629</v>
      </c>
      <c r="C172" s="211">
        <v>8268.0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209">
        <v>45170.0</v>
      </c>
      <c r="B173" s="210">
        <v>10.748629</v>
      </c>
      <c r="C173" s="211">
        <v>6755.0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209">
        <v>45173.0</v>
      </c>
      <c r="B174" s="210">
        <v>10.69</v>
      </c>
      <c r="C174" s="211">
        <v>14155.0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209">
        <v>45174.0</v>
      </c>
      <c r="B175" s="210">
        <v>10.69</v>
      </c>
      <c r="C175" s="211">
        <v>8836.0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209">
        <v>45175.0</v>
      </c>
      <c r="B176" s="210">
        <v>10.514113</v>
      </c>
      <c r="C176" s="211">
        <v>12866.0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209">
        <v>45176.0</v>
      </c>
      <c r="B177" s="210">
        <v>10.49457</v>
      </c>
      <c r="C177" s="211">
        <v>18425.0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209">
        <v>45177.0</v>
      </c>
      <c r="B178" s="210">
        <v>10.475027</v>
      </c>
      <c r="C178" s="211">
        <v>6239.0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209">
        <v>45180.0</v>
      </c>
      <c r="B179" s="210">
        <v>10.435942</v>
      </c>
      <c r="C179" s="211">
        <v>5496.0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209">
        <v>45181.0</v>
      </c>
      <c r="B180" s="210">
        <v>10.455484</v>
      </c>
      <c r="C180" s="211">
        <v>11754.0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209">
        <v>45182.0</v>
      </c>
      <c r="B181" s="210">
        <v>10.416398</v>
      </c>
      <c r="C181" s="211">
        <v>7895.0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209">
        <v>45183.0</v>
      </c>
      <c r="B182" s="210">
        <v>10.49457</v>
      </c>
      <c r="C182" s="211">
        <v>7200.0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209">
        <v>45184.0</v>
      </c>
      <c r="B183" s="210">
        <v>10.631371</v>
      </c>
      <c r="C183" s="211">
        <v>9510.0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209">
        <v>45187.0</v>
      </c>
      <c r="B184" s="210">
        <v>10.416398</v>
      </c>
      <c r="C184" s="211">
        <v>7090.0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209">
        <v>45188.0</v>
      </c>
      <c r="B185" s="210">
        <v>10.35777</v>
      </c>
      <c r="C185" s="211">
        <v>3780.0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209">
        <v>45189.0</v>
      </c>
      <c r="B186" s="210">
        <v>10.475027</v>
      </c>
      <c r="C186" s="211">
        <v>21520.0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209">
        <v>45190.0</v>
      </c>
      <c r="B187" s="210">
        <v>10.35777</v>
      </c>
      <c r="C187" s="211">
        <v>5430.0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209">
        <v>45191.0</v>
      </c>
      <c r="B188" s="210">
        <v>10.299141</v>
      </c>
      <c r="C188" s="211">
        <v>8918.0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209">
        <v>45194.0</v>
      </c>
      <c r="B189" s="210">
        <v>10.299141</v>
      </c>
      <c r="C189" s="211">
        <v>13960.0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209">
        <v>45195.0</v>
      </c>
      <c r="B190" s="210">
        <v>10.220968</v>
      </c>
      <c r="C190" s="211">
        <v>47489.0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209">
        <v>45196.0</v>
      </c>
      <c r="B191" s="210">
        <v>10.123254</v>
      </c>
      <c r="C191" s="211">
        <v>8257.0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209">
        <v>45197.0</v>
      </c>
      <c r="B192" s="210">
        <v>10.220968</v>
      </c>
      <c r="C192" s="211">
        <v>25025.0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209">
        <v>45198.0</v>
      </c>
      <c r="B193" s="210">
        <v>10.318684</v>
      </c>
      <c r="C193" s="211">
        <v>14812.0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209">
        <v>45201.0</v>
      </c>
      <c r="B194" s="210">
        <v>11.217659</v>
      </c>
      <c r="C194" s="211">
        <v>57529.0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209">
        <v>45202.0</v>
      </c>
      <c r="B195" s="210">
        <v>10.807258</v>
      </c>
      <c r="C195" s="211">
        <v>24602.0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209">
        <v>45203.0</v>
      </c>
      <c r="B196" s="210">
        <v>10.748629</v>
      </c>
      <c r="C196" s="211">
        <v>17535.0</v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209">
        <v>45204.0</v>
      </c>
      <c r="B197" s="210">
        <v>10.514113</v>
      </c>
      <c r="C197" s="211">
        <v>5241.0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209">
        <v>45205.0</v>
      </c>
      <c r="B198" s="210">
        <v>10.181883</v>
      </c>
      <c r="C198" s="211">
        <v>14231.0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209">
        <v>45208.0</v>
      </c>
      <c r="B199" s="210">
        <v>10.240511</v>
      </c>
      <c r="C199" s="211">
        <v>14094.0</v>
      </c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209">
        <v>45209.0</v>
      </c>
      <c r="B200" s="210">
        <v>10.416398</v>
      </c>
      <c r="C200" s="211">
        <v>20864.0</v>
      </c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209">
        <v>45210.0</v>
      </c>
      <c r="B201" s="210">
        <v>10.49457</v>
      </c>
      <c r="C201" s="211">
        <v>17012.0</v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209">
        <v>45211.0</v>
      </c>
      <c r="B202" s="210">
        <v>10.514113</v>
      </c>
      <c r="C202" s="211">
        <v>12968.0</v>
      </c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209">
        <v>45212.0</v>
      </c>
      <c r="B203" s="210">
        <v>10.553199</v>
      </c>
      <c r="C203" s="211">
        <v>11747.0</v>
      </c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209">
        <v>45215.0</v>
      </c>
      <c r="B204" s="210">
        <v>10.787715</v>
      </c>
      <c r="C204" s="211">
        <v>15084.0</v>
      </c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209">
        <v>45216.0</v>
      </c>
      <c r="B205" s="210">
        <v>10.631371</v>
      </c>
      <c r="C205" s="211">
        <v>9060.0</v>
      </c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209">
        <v>45217.0</v>
      </c>
      <c r="B206" s="210">
        <v>10.670457</v>
      </c>
      <c r="C206" s="211">
        <v>5211.0</v>
      </c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209">
        <v>45218.0</v>
      </c>
      <c r="B207" s="210">
        <v>10.69</v>
      </c>
      <c r="C207" s="211">
        <v>9504.0</v>
      </c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209">
        <v>45219.0</v>
      </c>
      <c r="B208" s="210">
        <v>10.35777</v>
      </c>
      <c r="C208" s="211">
        <v>10736.0</v>
      </c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209">
        <v>45222.0</v>
      </c>
      <c r="B209" s="210">
        <v>10.260055</v>
      </c>
      <c r="C209" s="211">
        <v>11798.0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209">
        <v>45223.0</v>
      </c>
      <c r="B210" s="210">
        <v>9.888739</v>
      </c>
      <c r="C210" s="211">
        <v>15206.0</v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209">
        <v>45224.0</v>
      </c>
      <c r="B211" s="210">
        <v>9.63468</v>
      </c>
      <c r="C211" s="211">
        <v>25013.0</v>
      </c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209">
        <v>45225.0</v>
      </c>
      <c r="B212" s="210">
        <v>9.732394</v>
      </c>
      <c r="C212" s="211">
        <v>12629.0</v>
      </c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209">
        <v>45226.0</v>
      </c>
      <c r="B213" s="210">
        <v>9.869196</v>
      </c>
      <c r="C213" s="211">
        <v>19949.0</v>
      </c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209">
        <v>45229.0</v>
      </c>
      <c r="B214" s="210">
        <v>9.908281</v>
      </c>
      <c r="C214" s="211">
        <v>11623.0</v>
      </c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209">
        <v>45230.0</v>
      </c>
      <c r="B215" s="210">
        <v>9.771481</v>
      </c>
      <c r="C215" s="211">
        <v>18260.0</v>
      </c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209">
        <v>45231.0</v>
      </c>
      <c r="B216" s="210">
        <v>9.869196</v>
      </c>
      <c r="C216" s="211">
        <v>8061.0</v>
      </c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209">
        <v>45232.0</v>
      </c>
      <c r="B217" s="210">
        <v>10.025539</v>
      </c>
      <c r="C217" s="211">
        <v>37749.0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209">
        <v>45233.0</v>
      </c>
      <c r="B218" s="210">
        <v>10.045082</v>
      </c>
      <c r="C218" s="211">
        <v>26146.0</v>
      </c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209">
        <v>45236.0</v>
      </c>
      <c r="B219" s="210">
        <v>9.986453</v>
      </c>
      <c r="C219" s="211">
        <v>13741.0</v>
      </c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209">
        <v>45237.0</v>
      </c>
      <c r="B220" s="210">
        <v>9.732394</v>
      </c>
      <c r="C220" s="211">
        <v>14477.0</v>
      </c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209">
        <v>45238.0</v>
      </c>
      <c r="B221" s="210">
        <v>9.849652</v>
      </c>
      <c r="C221" s="211">
        <v>47292.0</v>
      </c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209">
        <v>45239.0</v>
      </c>
      <c r="B222" s="210">
        <v>9.96691</v>
      </c>
      <c r="C222" s="211">
        <v>9168.0</v>
      </c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209">
        <v>45240.0</v>
      </c>
      <c r="B223" s="210">
        <v>10.103711</v>
      </c>
      <c r="C223" s="211">
        <v>16556.0</v>
      </c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209">
        <v>45243.0</v>
      </c>
      <c r="B224" s="210">
        <v>10.220968</v>
      </c>
      <c r="C224" s="211">
        <v>10608.0</v>
      </c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209">
        <v>45244.0</v>
      </c>
      <c r="B225" s="210">
        <v>10.709542</v>
      </c>
      <c r="C225" s="211">
        <v>28422.0</v>
      </c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209">
        <v>45245.0</v>
      </c>
      <c r="B226" s="210">
        <v>10.435942</v>
      </c>
      <c r="C226" s="211">
        <v>14483.0</v>
      </c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209">
        <v>45246.0</v>
      </c>
      <c r="B227" s="210">
        <v>10.377313</v>
      </c>
      <c r="C227" s="211">
        <v>12212.0</v>
      </c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209">
        <v>45247.0</v>
      </c>
      <c r="B228" s="210">
        <v>10.631371</v>
      </c>
      <c r="C228" s="211">
        <v>16928.0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209">
        <v>45250.0</v>
      </c>
      <c r="B229" s="210">
        <v>10.553199</v>
      </c>
      <c r="C229" s="211">
        <v>13927.0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209">
        <v>45251.0</v>
      </c>
      <c r="B230" s="210">
        <v>10.533656</v>
      </c>
      <c r="C230" s="211">
        <v>8688.0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209">
        <v>45252.0</v>
      </c>
      <c r="B231" s="210">
        <v>10.435942</v>
      </c>
      <c r="C231" s="211">
        <v>5710.0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209">
        <v>45253.0</v>
      </c>
      <c r="B232" s="210">
        <v>10.435942</v>
      </c>
      <c r="C232" s="211">
        <v>32087.0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209">
        <v>45254.0</v>
      </c>
      <c r="B233" s="210">
        <v>10.455484</v>
      </c>
      <c r="C233" s="211">
        <v>7064.0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209">
        <v>45257.0</v>
      </c>
      <c r="B234" s="210">
        <v>10.162339</v>
      </c>
      <c r="C234" s="211">
        <v>8202.0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209">
        <v>45258.0</v>
      </c>
      <c r="B235" s="210">
        <v>10.279598</v>
      </c>
      <c r="C235" s="211">
        <v>14800.0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209">
        <v>45259.0</v>
      </c>
      <c r="B236" s="210">
        <v>10.260055</v>
      </c>
      <c r="C236" s="211">
        <v>5678.0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209">
        <v>45260.0</v>
      </c>
      <c r="B237" s="210">
        <v>10.260055</v>
      </c>
      <c r="C237" s="211">
        <v>13136.0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209">
        <v>45261.0</v>
      </c>
      <c r="B238" s="210">
        <v>10.396855</v>
      </c>
      <c r="C238" s="211">
        <v>4226.0</v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209">
        <v>45264.0</v>
      </c>
      <c r="B239" s="210">
        <v>10.181883</v>
      </c>
      <c r="C239" s="211">
        <v>19806.0</v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209">
        <v>45265.0</v>
      </c>
      <c r="B240" s="210">
        <v>10.220968</v>
      </c>
      <c r="C240" s="211">
        <v>6852.0</v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209">
        <v>45266.0</v>
      </c>
      <c r="B241" s="210">
        <v>10.318684</v>
      </c>
      <c r="C241" s="211">
        <v>7949.0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209">
        <v>45267.0</v>
      </c>
      <c r="B242" s="210">
        <v>10.240511</v>
      </c>
      <c r="C242" s="211">
        <v>6357.0</v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209">
        <v>45268.0</v>
      </c>
      <c r="B243" s="210">
        <v>10.338226</v>
      </c>
      <c r="C243" s="211">
        <v>10909.0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209">
        <v>45271.0</v>
      </c>
      <c r="B244" s="210">
        <v>10.318684</v>
      </c>
      <c r="C244" s="211">
        <v>6944.0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209">
        <v>45272.0</v>
      </c>
      <c r="B245" s="210">
        <v>10.084167</v>
      </c>
      <c r="C245" s="211">
        <v>16622.0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209">
        <v>45273.0</v>
      </c>
      <c r="B246" s="210">
        <v>10.064625</v>
      </c>
      <c r="C246" s="211">
        <v>11485.0</v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209">
        <v>45274.0</v>
      </c>
      <c r="B247" s="210">
        <v>10.396855</v>
      </c>
      <c r="C247" s="211">
        <v>15625.0</v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209">
        <v>45275.0</v>
      </c>
      <c r="B248" s="210">
        <v>10.475027</v>
      </c>
      <c r="C248" s="211">
        <v>19297.0</v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209">
        <v>45278.0</v>
      </c>
      <c r="B249" s="210">
        <v>10.377313</v>
      </c>
      <c r="C249" s="211">
        <v>11531.0</v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209">
        <v>45279.0</v>
      </c>
      <c r="B250" s="210">
        <v>10.455484</v>
      </c>
      <c r="C250" s="211">
        <v>9268.0</v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209">
        <v>45280.0</v>
      </c>
      <c r="B251" s="210">
        <v>10.553199</v>
      </c>
      <c r="C251" s="211">
        <v>10808.0</v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209">
        <v>45281.0</v>
      </c>
      <c r="B252" s="210">
        <v>10.455484</v>
      </c>
      <c r="C252" s="211">
        <v>17632.0</v>
      </c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209">
        <v>45282.0</v>
      </c>
      <c r="B253" s="210">
        <v>10.709542</v>
      </c>
      <c r="C253" s="211">
        <v>23255.0</v>
      </c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209">
        <v>45287.0</v>
      </c>
      <c r="B254" s="210">
        <v>10.709542</v>
      </c>
      <c r="C254" s="211">
        <v>17647.0</v>
      </c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209">
        <v>45288.0</v>
      </c>
      <c r="B255" s="210">
        <v>10.69</v>
      </c>
      <c r="C255" s="211">
        <v>10109.0</v>
      </c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209">
        <v>45289.0</v>
      </c>
      <c r="B256" s="210">
        <v>10.69</v>
      </c>
      <c r="C256" s="211">
        <v>14480.0</v>
      </c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209"/>
      <c r="B257" s="210"/>
      <c r="C257" s="211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209"/>
      <c r="B258" s="210"/>
      <c r="C258" s="211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209"/>
      <c r="B259" s="210"/>
      <c r="C259" s="21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209"/>
      <c r="B260" s="210"/>
      <c r="C260" s="211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209"/>
      <c r="B261" s="210"/>
      <c r="C261" s="211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209"/>
      <c r="B262" s="210"/>
      <c r="C262" s="211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209"/>
      <c r="B263" s="210"/>
      <c r="C263" s="21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209"/>
      <c r="B264" s="210"/>
      <c r="C264" s="211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209"/>
      <c r="B265" s="210"/>
      <c r="C265" s="211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209"/>
      <c r="B266" s="210"/>
      <c r="C266" s="211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209"/>
      <c r="B267" s="210"/>
      <c r="C267" s="21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209"/>
      <c r="B268" s="210"/>
      <c r="C268" s="211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209"/>
      <c r="B269" s="210"/>
      <c r="C269" s="211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209"/>
      <c r="B270" s="210"/>
      <c r="C270" s="211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209"/>
      <c r="B271" s="210"/>
      <c r="C271" s="21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209"/>
      <c r="B272" s="210"/>
      <c r="C272" s="211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209"/>
      <c r="B273" s="210"/>
      <c r="C273" s="211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209"/>
      <c r="B274" s="210"/>
      <c r="C274" s="211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209"/>
      <c r="B275" s="210"/>
      <c r="C275" s="21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209"/>
      <c r="B276" s="210"/>
      <c r="C276" s="211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209"/>
      <c r="B277" s="210"/>
      <c r="C277" s="211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209"/>
      <c r="B278" s="210"/>
      <c r="C278" s="211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209"/>
      <c r="B279" s="210"/>
      <c r="C279" s="21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209"/>
      <c r="B280" s="210"/>
      <c r="C280" s="211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209"/>
      <c r="B281" s="210"/>
      <c r="C281" s="211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209"/>
      <c r="B282" s="210"/>
      <c r="C282" s="211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209"/>
      <c r="B283" s="210"/>
      <c r="C283" s="21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209"/>
      <c r="B284" s="210"/>
      <c r="C284" s="211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209"/>
      <c r="B285" s="210"/>
      <c r="C285" s="211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209"/>
      <c r="B286" s="210"/>
      <c r="C286" s="211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209"/>
      <c r="B287" s="210"/>
      <c r="C287" s="21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209"/>
      <c r="B288" s="210"/>
      <c r="C288" s="211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209"/>
      <c r="B289" s="210"/>
      <c r="C289" s="211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209"/>
      <c r="B290" s="210"/>
      <c r="C290" s="211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209"/>
      <c r="B291" s="210"/>
      <c r="C291" s="21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209"/>
      <c r="B292" s="210"/>
      <c r="C292" s="211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209"/>
      <c r="B293" s="210"/>
      <c r="C293" s="211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209"/>
      <c r="B294" s="210"/>
      <c r="C294" s="211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209"/>
      <c r="B295" s="210"/>
      <c r="C295" s="21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209"/>
      <c r="B296" s="210"/>
      <c r="C296" s="211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209"/>
      <c r="B297" s="210"/>
      <c r="C297" s="211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209"/>
      <c r="B298" s="210"/>
      <c r="C298" s="211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209"/>
      <c r="B299" s="210"/>
      <c r="C299" s="21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209"/>
      <c r="B300" s="210"/>
      <c r="C300" s="211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209"/>
      <c r="B301" s="210"/>
      <c r="C301" s="211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209"/>
      <c r="B302" s="210"/>
      <c r="C302" s="211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209"/>
      <c r="B303" s="210"/>
      <c r="C303" s="21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209"/>
      <c r="B304" s="210"/>
      <c r="C304" s="211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209"/>
      <c r="B305" s="210"/>
      <c r="C305" s="211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209"/>
      <c r="B306" s="210"/>
      <c r="C306" s="211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209"/>
      <c r="B307" s="210"/>
      <c r="C307" s="21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209"/>
      <c r="B308" s="210"/>
      <c r="C308" s="211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209"/>
      <c r="B309" s="210"/>
      <c r="C309" s="211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209"/>
      <c r="B310" s="210"/>
      <c r="C310" s="211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209"/>
      <c r="B311" s="210"/>
      <c r="C311" s="21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209"/>
      <c r="B312" s="210"/>
      <c r="C312" s="211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209"/>
      <c r="B313" s="210"/>
      <c r="C313" s="211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209"/>
      <c r="B314" s="210"/>
      <c r="C314" s="211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209"/>
      <c r="B315" s="210"/>
      <c r="C315" s="21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209"/>
      <c r="B316" s="210"/>
      <c r="C316" s="211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209"/>
      <c r="B317" s="210"/>
      <c r="C317" s="211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209"/>
      <c r="B318" s="210"/>
      <c r="C318" s="211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209"/>
      <c r="B319" s="210"/>
      <c r="C319" s="21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209"/>
      <c r="B320" s="210"/>
      <c r="C320" s="211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209"/>
      <c r="B321" s="210"/>
      <c r="C321" s="211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209"/>
      <c r="B322" s="210"/>
      <c r="C322" s="211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209"/>
      <c r="B323" s="210"/>
      <c r="C323" s="21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209"/>
      <c r="B324" s="210"/>
      <c r="C324" s="211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209"/>
      <c r="B325" s="210"/>
      <c r="C325" s="211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209"/>
      <c r="B326" s="210"/>
      <c r="C326" s="211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209"/>
      <c r="B327" s="210"/>
      <c r="C327" s="21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209"/>
      <c r="B328" s="210"/>
      <c r="C328" s="211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209"/>
      <c r="B329" s="210"/>
      <c r="C329" s="211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209"/>
      <c r="B330" s="210"/>
      <c r="C330" s="211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209"/>
      <c r="B331" s="210"/>
      <c r="C331" s="21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209"/>
      <c r="B332" s="210"/>
      <c r="C332" s="211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209"/>
      <c r="B333" s="210"/>
      <c r="C333" s="211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209"/>
      <c r="B334" s="210"/>
      <c r="C334" s="211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209"/>
      <c r="B335" s="210"/>
      <c r="C335" s="21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209"/>
      <c r="B336" s="210"/>
      <c r="C336" s="211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209"/>
      <c r="B337" s="210"/>
      <c r="C337" s="211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209"/>
      <c r="B338" s="210"/>
      <c r="C338" s="211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209"/>
      <c r="B339" s="210"/>
      <c r="C339" s="21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209"/>
      <c r="B340" s="210"/>
      <c r="C340" s="211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209"/>
      <c r="B341" s="210"/>
      <c r="C341" s="211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209"/>
      <c r="B342" s="210"/>
      <c r="C342" s="211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209"/>
      <c r="B343" s="210"/>
      <c r="C343" s="21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209"/>
      <c r="B344" s="210"/>
      <c r="C344" s="211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209"/>
      <c r="B345" s="210"/>
      <c r="C345" s="211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209"/>
      <c r="B346" s="210"/>
      <c r="C346" s="211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209"/>
      <c r="B347" s="210"/>
      <c r="C347" s="21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209"/>
      <c r="B348" s="210"/>
      <c r="C348" s="211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209"/>
      <c r="B349" s="210"/>
      <c r="C349" s="211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209"/>
      <c r="B350" s="210"/>
      <c r="C350" s="211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209"/>
      <c r="B351" s="210"/>
      <c r="C351" s="21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209"/>
      <c r="B352" s="210"/>
      <c r="C352" s="211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209"/>
      <c r="B353" s="210"/>
      <c r="C353" s="211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209"/>
      <c r="B354" s="210"/>
      <c r="C354" s="211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209"/>
      <c r="B355" s="210"/>
      <c r="C355" s="21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209"/>
      <c r="B356" s="210"/>
      <c r="C356" s="211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209"/>
      <c r="B357" s="210"/>
      <c r="C357" s="211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209"/>
      <c r="B358" s="210"/>
      <c r="C358" s="211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209"/>
      <c r="B359" s="210"/>
      <c r="C359" s="21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209"/>
      <c r="B360" s="210"/>
      <c r="C360" s="211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209"/>
      <c r="B361" s="210"/>
      <c r="C361" s="211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209"/>
      <c r="B362" s="210"/>
      <c r="C362" s="211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209"/>
      <c r="B363" s="210"/>
      <c r="C363" s="21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209"/>
      <c r="B364" s="210"/>
      <c r="C364" s="211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209"/>
      <c r="B365" s="210"/>
      <c r="C365" s="211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209"/>
      <c r="B366" s="210"/>
      <c r="C366" s="211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209"/>
      <c r="B367" s="210"/>
      <c r="C367" s="21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209"/>
      <c r="B368" s="210"/>
      <c r="C368" s="211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209"/>
      <c r="B369" s="210"/>
      <c r="C369" s="211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209"/>
      <c r="B370" s="210"/>
      <c r="C370" s="211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209"/>
      <c r="B371" s="210"/>
      <c r="C371" s="21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209"/>
      <c r="B372" s="210"/>
      <c r="C372" s="211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209"/>
      <c r="B373" s="210"/>
      <c r="C373" s="211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209"/>
      <c r="B374" s="210"/>
      <c r="C374" s="211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209"/>
      <c r="B375" s="210"/>
      <c r="C375" s="21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209"/>
      <c r="B376" s="210"/>
      <c r="C376" s="211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209"/>
      <c r="B377" s="210"/>
      <c r="C377" s="211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209"/>
      <c r="B378" s="210"/>
      <c r="C378" s="211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209"/>
      <c r="B379" s="210"/>
      <c r="C379" s="21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209"/>
      <c r="B380" s="210"/>
      <c r="C380" s="211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209"/>
      <c r="B381" s="210"/>
      <c r="C381" s="211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209"/>
      <c r="B382" s="210"/>
      <c r="C382" s="211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209"/>
      <c r="B383" s="210"/>
      <c r="C383" s="21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209"/>
      <c r="B384" s="210"/>
      <c r="C384" s="211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209"/>
      <c r="B385" s="210"/>
      <c r="C385" s="211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209"/>
      <c r="B386" s="210"/>
      <c r="C386" s="211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209"/>
      <c r="B387" s="210"/>
      <c r="C387" s="21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209"/>
      <c r="B388" s="210"/>
      <c r="C388" s="211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209"/>
      <c r="B389" s="210"/>
      <c r="C389" s="211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209"/>
      <c r="B390" s="210"/>
      <c r="C390" s="211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209"/>
      <c r="B391" s="210"/>
      <c r="C391" s="21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209"/>
      <c r="B392" s="210"/>
      <c r="C392" s="211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209"/>
      <c r="B393" s="210"/>
      <c r="C393" s="211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209"/>
      <c r="B394" s="210"/>
      <c r="C394" s="211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209"/>
      <c r="B395" s="210"/>
      <c r="C395" s="21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209"/>
      <c r="B396" s="210"/>
      <c r="C396" s="211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209"/>
      <c r="B397" s="210"/>
      <c r="C397" s="211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209"/>
      <c r="B398" s="210"/>
      <c r="C398" s="211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209"/>
      <c r="B399" s="210"/>
      <c r="C399" s="21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209"/>
      <c r="B400" s="210"/>
      <c r="C400" s="211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209"/>
      <c r="B401" s="210"/>
      <c r="C401" s="211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209"/>
      <c r="B402" s="210"/>
      <c r="C402" s="211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209"/>
      <c r="B403" s="210"/>
      <c r="C403" s="21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209"/>
      <c r="B404" s="210"/>
      <c r="C404" s="211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209"/>
      <c r="B405" s="210"/>
      <c r="C405" s="211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209"/>
      <c r="B406" s="210"/>
      <c r="C406" s="211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209"/>
      <c r="B407" s="210"/>
      <c r="C407" s="211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209"/>
      <c r="B408" s="210"/>
      <c r="C408" s="211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209"/>
      <c r="B409" s="210"/>
      <c r="C409" s="211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209"/>
      <c r="B410" s="210"/>
      <c r="C410" s="211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209"/>
      <c r="B411" s="210"/>
      <c r="C411" s="211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209"/>
      <c r="B412" s="210"/>
      <c r="C412" s="211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209"/>
      <c r="B413" s="210"/>
      <c r="C413" s="211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209"/>
      <c r="B414" s="210"/>
      <c r="C414" s="211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209"/>
      <c r="B415" s="210"/>
      <c r="C415" s="21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209"/>
      <c r="B416" s="210"/>
      <c r="C416" s="211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209"/>
      <c r="B417" s="210"/>
      <c r="C417" s="211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209"/>
      <c r="B418" s="210"/>
      <c r="C418" s="211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209"/>
      <c r="B419" s="210"/>
      <c r="C419" s="21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209"/>
      <c r="B420" s="210"/>
      <c r="C420" s="211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209"/>
      <c r="B421" s="210"/>
      <c r="C421" s="211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209"/>
      <c r="B422" s="210"/>
      <c r="C422" s="211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209"/>
      <c r="B423" s="210"/>
      <c r="C423" s="21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209"/>
      <c r="B424" s="210"/>
      <c r="C424" s="211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209"/>
      <c r="B425" s="210"/>
      <c r="C425" s="211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209"/>
      <c r="B426" s="210"/>
      <c r="C426" s="211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209"/>
      <c r="B427" s="210"/>
      <c r="C427" s="21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209"/>
      <c r="B428" s="210"/>
      <c r="C428" s="211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209"/>
      <c r="B429" s="210"/>
      <c r="C429" s="211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209"/>
      <c r="B430" s="210"/>
      <c r="C430" s="211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209"/>
      <c r="B431" s="210"/>
      <c r="C431" s="21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209"/>
      <c r="B432" s="210"/>
      <c r="C432" s="211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209"/>
      <c r="B433" s="210"/>
      <c r="C433" s="211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209"/>
      <c r="B434" s="210"/>
      <c r="C434" s="211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209"/>
      <c r="B435" s="210"/>
      <c r="C435" s="21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209"/>
      <c r="B436" s="210"/>
      <c r="C436" s="211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209"/>
      <c r="B437" s="210"/>
      <c r="C437" s="211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209"/>
      <c r="B438" s="210"/>
      <c r="C438" s="211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209"/>
      <c r="B439" s="210"/>
      <c r="C439" s="21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209"/>
      <c r="B440" s="210"/>
      <c r="C440" s="211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209"/>
      <c r="B441" s="210"/>
      <c r="C441" s="211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209"/>
      <c r="B442" s="210"/>
      <c r="C442" s="211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209"/>
      <c r="B443" s="210"/>
      <c r="C443" s="21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209"/>
      <c r="B444" s="210"/>
      <c r="C444" s="211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209"/>
      <c r="B445" s="210"/>
      <c r="C445" s="211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209"/>
      <c r="B446" s="210"/>
      <c r="C446" s="211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209"/>
      <c r="B447" s="210"/>
      <c r="C447" s="21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209"/>
      <c r="B448" s="210"/>
      <c r="C448" s="211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209"/>
      <c r="B449" s="210"/>
      <c r="C449" s="211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209"/>
      <c r="B450" s="210"/>
      <c r="C450" s="211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209"/>
      <c r="B451" s="210"/>
      <c r="C451" s="21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209"/>
      <c r="B452" s="210"/>
      <c r="C452" s="211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209"/>
      <c r="B453" s="210"/>
      <c r="C453" s="211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209"/>
      <c r="B454" s="210"/>
      <c r="C454" s="211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209"/>
      <c r="B455" s="210"/>
      <c r="C455" s="21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209"/>
      <c r="B456" s="210"/>
      <c r="C456" s="211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209"/>
      <c r="B457" s="210"/>
      <c r="C457" s="211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209"/>
      <c r="B458" s="210"/>
      <c r="C458" s="211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209"/>
      <c r="B459" s="210"/>
      <c r="C459" s="21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209"/>
      <c r="B460" s="210"/>
      <c r="C460" s="211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209"/>
      <c r="B461" s="210"/>
      <c r="C461" s="211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209"/>
      <c r="B462" s="210"/>
      <c r="C462" s="211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209"/>
      <c r="B463" s="210"/>
      <c r="C463" s="21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209"/>
      <c r="B464" s="210"/>
      <c r="C464" s="211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209"/>
      <c r="B465" s="210"/>
      <c r="C465" s="211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209"/>
      <c r="B466" s="210"/>
      <c r="C466" s="211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209"/>
      <c r="B467" s="210"/>
      <c r="C467" s="21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209"/>
      <c r="B468" s="210"/>
      <c r="C468" s="211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209"/>
      <c r="B469" s="210"/>
      <c r="C469" s="211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209"/>
      <c r="B470" s="210"/>
      <c r="C470" s="211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209"/>
      <c r="B471" s="210"/>
      <c r="C471" s="21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209"/>
      <c r="B472" s="210"/>
      <c r="C472" s="211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209"/>
      <c r="B473" s="210"/>
      <c r="C473" s="211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209"/>
      <c r="B474" s="210"/>
      <c r="C474" s="211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209"/>
      <c r="B475" s="210"/>
      <c r="C475" s="21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209"/>
      <c r="B476" s="210"/>
      <c r="C476" s="211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209"/>
      <c r="B477" s="210"/>
      <c r="C477" s="211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209"/>
      <c r="B478" s="210"/>
      <c r="C478" s="211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209"/>
      <c r="B479" s="210"/>
      <c r="C479" s="21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209"/>
      <c r="B480" s="210"/>
      <c r="C480" s="211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209"/>
      <c r="B481" s="210"/>
      <c r="C481" s="211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209"/>
      <c r="B482" s="210"/>
      <c r="C482" s="211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209"/>
      <c r="B483" s="210"/>
      <c r="C483" s="21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209"/>
      <c r="B484" s="210"/>
      <c r="C484" s="211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209"/>
      <c r="B485" s="210"/>
      <c r="C485" s="211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209"/>
      <c r="B486" s="210"/>
      <c r="C486" s="211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209"/>
      <c r="B487" s="210"/>
      <c r="C487" s="21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209"/>
      <c r="B488" s="210"/>
      <c r="C488" s="211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209"/>
      <c r="B489" s="210"/>
      <c r="C489" s="211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209"/>
      <c r="B490" s="210"/>
      <c r="C490" s="211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209"/>
      <c r="B491" s="210"/>
      <c r="C491" s="21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209"/>
      <c r="B492" s="210"/>
      <c r="C492" s="211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209"/>
      <c r="B493" s="210"/>
      <c r="C493" s="211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209"/>
      <c r="B494" s="210"/>
      <c r="C494" s="211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209"/>
      <c r="B495" s="210"/>
      <c r="C495" s="21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209"/>
      <c r="B496" s="210"/>
      <c r="C496" s="211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209"/>
      <c r="B497" s="210"/>
      <c r="C497" s="211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209"/>
      <c r="B498" s="210"/>
      <c r="C498" s="211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209"/>
      <c r="B499" s="210"/>
      <c r="C499" s="21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209"/>
      <c r="B500" s="210"/>
      <c r="C500" s="211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209"/>
      <c r="B501" s="210"/>
      <c r="C501" s="211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209"/>
      <c r="B502" s="210"/>
      <c r="C502" s="211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209"/>
      <c r="B503" s="210"/>
      <c r="C503" s="21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209"/>
      <c r="B504" s="210"/>
      <c r="C504" s="211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209"/>
      <c r="B505" s="210"/>
      <c r="C505" s="211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209"/>
      <c r="B506" s="210"/>
      <c r="C506" s="211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209"/>
      <c r="B507" s="210"/>
      <c r="C507" s="21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209"/>
      <c r="B508" s="210"/>
      <c r="C508" s="211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209"/>
      <c r="B509" s="210"/>
      <c r="C509" s="211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209"/>
      <c r="B510" s="210"/>
      <c r="C510" s="211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209"/>
      <c r="B511" s="210"/>
      <c r="C511" s="21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209"/>
      <c r="B512" s="210"/>
      <c r="C512" s="211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209"/>
      <c r="B513" s="210"/>
      <c r="C513" s="211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209"/>
      <c r="B514" s="210"/>
      <c r="C514" s="211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209"/>
      <c r="B515" s="210"/>
      <c r="C515" s="21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209"/>
      <c r="B516" s="210"/>
      <c r="C516" s="211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209"/>
      <c r="B517" s="210"/>
      <c r="C517" s="211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209"/>
      <c r="B518" s="210"/>
      <c r="C518" s="211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209"/>
      <c r="B519" s="210"/>
      <c r="C519" s="21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209"/>
      <c r="B520" s="210"/>
      <c r="C520" s="211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209"/>
      <c r="B521" s="210"/>
      <c r="C521" s="211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209"/>
      <c r="B522" s="210"/>
      <c r="C522" s="211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209"/>
      <c r="B523" s="210"/>
      <c r="C523" s="21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209"/>
      <c r="B524" s="210"/>
      <c r="C524" s="211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209"/>
      <c r="B525" s="210"/>
      <c r="C525" s="211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209"/>
      <c r="B526" s="210"/>
      <c r="C526" s="211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209"/>
      <c r="B527" s="210"/>
      <c r="C527" s="21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209"/>
      <c r="B528" s="210"/>
      <c r="C528" s="211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209"/>
      <c r="B529" s="210"/>
      <c r="C529" s="211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209"/>
      <c r="B530" s="210"/>
      <c r="C530" s="211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209"/>
      <c r="B531" s="210"/>
      <c r="C531" s="21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209"/>
      <c r="B532" s="210"/>
      <c r="C532" s="211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209"/>
      <c r="B533" s="210"/>
      <c r="C533" s="211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209"/>
      <c r="B534" s="210"/>
      <c r="C534" s="211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209"/>
      <c r="B535" s="210"/>
      <c r="C535" s="21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209"/>
      <c r="B536" s="210"/>
      <c r="C536" s="211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209"/>
      <c r="B537" s="210"/>
      <c r="C537" s="211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209"/>
      <c r="B538" s="210"/>
      <c r="C538" s="211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209"/>
      <c r="B539" s="210"/>
      <c r="C539" s="21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209"/>
      <c r="B540" s="210"/>
      <c r="C540" s="211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209"/>
      <c r="B541" s="210"/>
      <c r="C541" s="211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209"/>
      <c r="B542" s="210"/>
      <c r="C542" s="211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209"/>
      <c r="B543" s="210"/>
      <c r="C543" s="21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209"/>
      <c r="B544" s="210"/>
      <c r="C544" s="211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209"/>
      <c r="B545" s="210"/>
      <c r="C545" s="211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209"/>
      <c r="B546" s="210"/>
      <c r="C546" s="211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209"/>
      <c r="B547" s="210"/>
      <c r="C547" s="21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209"/>
      <c r="B548" s="210"/>
      <c r="C548" s="211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209"/>
      <c r="B549" s="210"/>
      <c r="C549" s="211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209"/>
      <c r="B550" s="210"/>
      <c r="C550" s="211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209"/>
      <c r="B551" s="210"/>
      <c r="C551" s="21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209"/>
      <c r="B552" s="210"/>
      <c r="C552" s="211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209"/>
      <c r="B553" s="210"/>
      <c r="C553" s="211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209"/>
      <c r="B554" s="210"/>
      <c r="C554" s="211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209"/>
      <c r="B555" s="210"/>
      <c r="C555" s="21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209"/>
      <c r="B556" s="210"/>
      <c r="C556" s="211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209"/>
      <c r="B557" s="210"/>
      <c r="C557" s="211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209"/>
      <c r="B558" s="210"/>
      <c r="C558" s="211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209"/>
      <c r="B559" s="210"/>
      <c r="C559" s="21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209"/>
      <c r="B560" s="210"/>
      <c r="C560" s="211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209"/>
      <c r="B561" s="210"/>
      <c r="C561" s="211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209"/>
      <c r="B562" s="210"/>
      <c r="C562" s="211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209"/>
      <c r="B563" s="210"/>
      <c r="C563" s="21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209"/>
      <c r="B564" s="210"/>
      <c r="C564" s="211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209"/>
      <c r="B565" s="210"/>
      <c r="C565" s="211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209"/>
      <c r="B566" s="210"/>
      <c r="C566" s="211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209"/>
      <c r="B567" s="210"/>
      <c r="C567" s="21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209"/>
      <c r="B568" s="210"/>
      <c r="C568" s="211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209"/>
      <c r="B569" s="210"/>
      <c r="C569" s="211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209"/>
      <c r="B570" s="210"/>
      <c r="C570" s="211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209"/>
      <c r="B571" s="210"/>
      <c r="C571" s="21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209"/>
      <c r="B572" s="210"/>
      <c r="C572" s="211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209"/>
      <c r="B573" s="210"/>
      <c r="C573" s="211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209"/>
      <c r="B574" s="210"/>
      <c r="C574" s="211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209"/>
      <c r="B575" s="210"/>
      <c r="C575" s="21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209"/>
      <c r="B576" s="210"/>
      <c r="C576" s="211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209"/>
      <c r="B577" s="210"/>
      <c r="C577" s="211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209"/>
      <c r="B578" s="210"/>
      <c r="C578" s="211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209"/>
      <c r="B579" s="210"/>
      <c r="C579" s="21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209"/>
      <c r="B580" s="210"/>
      <c r="C580" s="211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209"/>
      <c r="B581" s="210"/>
      <c r="C581" s="211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209"/>
      <c r="B582" s="210"/>
      <c r="C582" s="211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209"/>
      <c r="B583" s="210"/>
      <c r="C583" s="21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209"/>
      <c r="B584" s="210"/>
      <c r="C584" s="211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209"/>
      <c r="B585" s="210"/>
      <c r="C585" s="211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209"/>
      <c r="B586" s="210"/>
      <c r="C586" s="211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209"/>
      <c r="B587" s="210"/>
      <c r="C587" s="21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209"/>
      <c r="B588" s="210"/>
      <c r="C588" s="211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209"/>
      <c r="B589" s="210"/>
      <c r="C589" s="211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209"/>
      <c r="B590" s="210"/>
      <c r="C590" s="211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209"/>
      <c r="B591" s="210"/>
      <c r="C591" s="21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209"/>
      <c r="B592" s="210"/>
      <c r="C592" s="211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209"/>
      <c r="B593" s="210"/>
      <c r="C593" s="211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209"/>
      <c r="B594" s="210"/>
      <c r="C594" s="211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209"/>
      <c r="B595" s="210"/>
      <c r="C595" s="21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209"/>
      <c r="B596" s="210"/>
      <c r="C596" s="211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209"/>
      <c r="B597" s="210"/>
      <c r="C597" s="211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209"/>
      <c r="B598" s="210"/>
      <c r="C598" s="211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209"/>
      <c r="B599" s="210"/>
      <c r="C599" s="21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209"/>
      <c r="B600" s="210"/>
      <c r="C600" s="211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209"/>
      <c r="B601" s="210"/>
      <c r="C601" s="211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209"/>
      <c r="B602" s="210"/>
      <c r="C602" s="211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209"/>
      <c r="B603" s="210"/>
      <c r="C603" s="21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209"/>
      <c r="B604" s="210"/>
      <c r="C604" s="211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209"/>
      <c r="B605" s="210"/>
      <c r="C605" s="211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209"/>
      <c r="B606" s="210"/>
      <c r="C606" s="211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209"/>
      <c r="B607" s="210"/>
      <c r="C607" s="211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209"/>
      <c r="B608" s="210"/>
      <c r="C608" s="211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209"/>
      <c r="B609" s="210"/>
      <c r="C609" s="211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209"/>
      <c r="B610" s="210"/>
      <c r="C610" s="211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209"/>
      <c r="B611" s="210"/>
      <c r="C611" s="211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209"/>
      <c r="B612" s="210"/>
      <c r="C612" s="211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209"/>
      <c r="B613" s="210"/>
      <c r="C613" s="211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209"/>
      <c r="B614" s="210"/>
      <c r="C614" s="211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209"/>
      <c r="B615" s="210"/>
      <c r="C615" s="21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209"/>
      <c r="B616" s="210"/>
      <c r="C616" s="211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209"/>
      <c r="B617" s="210"/>
      <c r="C617" s="211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209"/>
      <c r="B618" s="210"/>
      <c r="C618" s="211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209"/>
      <c r="B619" s="210"/>
      <c r="C619" s="21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209"/>
      <c r="B620" s="210"/>
      <c r="C620" s="211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209"/>
      <c r="B621" s="210"/>
      <c r="C621" s="211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209"/>
      <c r="B622" s="210"/>
      <c r="C622" s="211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209"/>
      <c r="B623" s="210"/>
      <c r="C623" s="21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209"/>
      <c r="B624" s="210"/>
      <c r="C624" s="211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209"/>
      <c r="B625" s="210"/>
      <c r="C625" s="211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209"/>
      <c r="B626" s="210"/>
      <c r="C626" s="211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209"/>
      <c r="B627" s="210"/>
      <c r="C627" s="21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209"/>
      <c r="B628" s="210"/>
      <c r="C628" s="211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209"/>
      <c r="B629" s="210"/>
      <c r="C629" s="211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209"/>
      <c r="B630" s="210"/>
      <c r="C630" s="211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209"/>
      <c r="B631" s="210"/>
      <c r="C631" s="21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209"/>
      <c r="B632" s="210"/>
      <c r="C632" s="211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209"/>
      <c r="B633" s="210"/>
      <c r="C633" s="211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209"/>
      <c r="B634" s="210"/>
      <c r="C634" s="211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209"/>
      <c r="B635" s="210"/>
      <c r="C635" s="21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209"/>
      <c r="B636" s="210"/>
      <c r="C636" s="211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209"/>
      <c r="B637" s="210"/>
      <c r="C637" s="211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209"/>
      <c r="B638" s="210"/>
      <c r="C638" s="211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209"/>
      <c r="B639" s="210"/>
      <c r="C639" s="21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209"/>
      <c r="B640" s="210"/>
      <c r="C640" s="211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209"/>
      <c r="B641" s="210"/>
      <c r="C641" s="211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209"/>
      <c r="B642" s="210"/>
      <c r="C642" s="211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209"/>
      <c r="B643" s="210"/>
      <c r="C643" s="21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209"/>
      <c r="B644" s="210"/>
      <c r="C644" s="211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209"/>
      <c r="B645" s="210"/>
      <c r="C645" s="211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209"/>
      <c r="B646" s="210"/>
      <c r="C646" s="211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209"/>
      <c r="B647" s="210"/>
      <c r="C647" s="21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209"/>
      <c r="B648" s="210"/>
      <c r="C648" s="211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209"/>
      <c r="B649" s="210"/>
      <c r="C649" s="211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209"/>
      <c r="B650" s="210"/>
      <c r="C650" s="211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209"/>
      <c r="B651" s="210"/>
      <c r="C651" s="21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209"/>
      <c r="B652" s="210"/>
      <c r="C652" s="211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209"/>
      <c r="B653" s="210"/>
      <c r="C653" s="211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209"/>
      <c r="B654" s="210"/>
      <c r="C654" s="211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209"/>
      <c r="B655" s="210"/>
      <c r="C655" s="21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209"/>
      <c r="B656" s="210"/>
      <c r="C656" s="211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209"/>
      <c r="B657" s="210"/>
      <c r="C657" s="211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209"/>
      <c r="B658" s="210"/>
      <c r="C658" s="211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209"/>
      <c r="B659" s="210"/>
      <c r="C659" s="21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209"/>
      <c r="B660" s="210"/>
      <c r="C660" s="211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209"/>
      <c r="B661" s="210"/>
      <c r="C661" s="211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209"/>
      <c r="B662" s="210"/>
      <c r="C662" s="211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209"/>
      <c r="B663" s="210"/>
      <c r="C663" s="21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209"/>
      <c r="B664" s="210"/>
      <c r="C664" s="211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209"/>
      <c r="B665" s="210"/>
      <c r="C665" s="211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209"/>
      <c r="B666" s="210"/>
      <c r="C666" s="211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209"/>
      <c r="B667" s="210"/>
      <c r="C667" s="21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209"/>
      <c r="B668" s="210"/>
      <c r="C668" s="211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209"/>
      <c r="B669" s="210"/>
      <c r="C669" s="211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209"/>
      <c r="B670" s="210"/>
      <c r="C670" s="211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209"/>
      <c r="B671" s="210"/>
      <c r="C671" s="21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209"/>
      <c r="B672" s="210"/>
      <c r="C672" s="211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209"/>
      <c r="B673" s="210"/>
      <c r="C673" s="211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209"/>
      <c r="B674" s="210"/>
      <c r="C674" s="211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209"/>
      <c r="B675" s="210"/>
      <c r="C675" s="21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209"/>
      <c r="B676" s="210"/>
      <c r="C676" s="211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209"/>
      <c r="B677" s="210"/>
      <c r="C677" s="211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209"/>
      <c r="B678" s="210"/>
      <c r="C678" s="211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209"/>
      <c r="B679" s="210"/>
      <c r="C679" s="21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209"/>
      <c r="B680" s="210"/>
      <c r="C680" s="211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209"/>
      <c r="B681" s="210"/>
      <c r="C681" s="211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209"/>
      <c r="B682" s="210"/>
      <c r="C682" s="211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209"/>
      <c r="B683" s="210"/>
      <c r="C683" s="21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209"/>
      <c r="B684" s="210"/>
      <c r="C684" s="211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209"/>
      <c r="B685" s="210"/>
      <c r="C685" s="211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209"/>
      <c r="B686" s="210"/>
      <c r="C686" s="211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209"/>
      <c r="B687" s="210"/>
      <c r="C687" s="21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209"/>
      <c r="B688" s="210"/>
      <c r="C688" s="211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209"/>
      <c r="B689" s="210"/>
      <c r="C689" s="211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209"/>
      <c r="B690" s="210"/>
      <c r="C690" s="211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209"/>
      <c r="B691" s="210"/>
      <c r="C691" s="21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209"/>
      <c r="B692" s="210"/>
      <c r="C692" s="211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209"/>
      <c r="B693" s="210"/>
      <c r="C693" s="211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209"/>
      <c r="B694" s="210"/>
      <c r="C694" s="211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209"/>
      <c r="B695" s="210"/>
      <c r="C695" s="21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209"/>
      <c r="B696" s="210"/>
      <c r="C696" s="211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209"/>
      <c r="B697" s="210"/>
      <c r="C697" s="211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209"/>
      <c r="B698" s="210"/>
      <c r="C698" s="211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209"/>
      <c r="B699" s="210"/>
      <c r="C699" s="21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209"/>
      <c r="B700" s="210"/>
      <c r="C700" s="211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209"/>
      <c r="B701" s="210"/>
      <c r="C701" s="211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209"/>
      <c r="B702" s="210"/>
      <c r="C702" s="211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209"/>
      <c r="B703" s="210"/>
      <c r="C703" s="21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209"/>
      <c r="B704" s="210"/>
      <c r="C704" s="211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209"/>
      <c r="B705" s="210"/>
      <c r="C705" s="211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209"/>
      <c r="B706" s="210"/>
      <c r="C706" s="211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209"/>
      <c r="B707" s="210"/>
      <c r="C707" s="21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209"/>
      <c r="B708" s="210"/>
      <c r="C708" s="211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209"/>
      <c r="B709" s="210"/>
      <c r="C709" s="211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209"/>
      <c r="B710" s="210"/>
      <c r="C710" s="211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209"/>
      <c r="B711" s="210"/>
      <c r="C711" s="21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209"/>
      <c r="B712" s="210"/>
      <c r="C712" s="211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209"/>
      <c r="B713" s="210"/>
      <c r="C713" s="211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209"/>
      <c r="B714" s="210"/>
      <c r="C714" s="211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209"/>
      <c r="B715" s="210"/>
      <c r="C715" s="21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209"/>
      <c r="B716" s="210"/>
      <c r="C716" s="211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209"/>
      <c r="B717" s="210"/>
      <c r="C717" s="211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209"/>
      <c r="B718" s="210"/>
      <c r="C718" s="211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209"/>
      <c r="B719" s="210"/>
      <c r="C719" s="21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209"/>
      <c r="B720" s="210"/>
      <c r="C720" s="211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209"/>
      <c r="B721" s="210"/>
      <c r="C721" s="211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209"/>
      <c r="B722" s="210"/>
      <c r="C722" s="211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209"/>
      <c r="B723" s="210"/>
      <c r="C723" s="21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209"/>
      <c r="B724" s="210"/>
      <c r="C724" s="211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209"/>
      <c r="B725" s="210"/>
      <c r="C725" s="211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209"/>
      <c r="B726" s="210"/>
      <c r="C726" s="211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209"/>
      <c r="B727" s="210"/>
      <c r="C727" s="21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209"/>
      <c r="B728" s="210"/>
      <c r="C728" s="211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209"/>
      <c r="B729" s="210"/>
      <c r="C729" s="211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209"/>
      <c r="B730" s="210"/>
      <c r="C730" s="211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209"/>
      <c r="B731" s="210"/>
      <c r="C731" s="21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209"/>
      <c r="B732" s="210"/>
      <c r="C732" s="211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209"/>
      <c r="B733" s="210"/>
      <c r="C733" s="211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209"/>
      <c r="B734" s="210"/>
      <c r="C734" s="211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209"/>
      <c r="B735" s="210"/>
      <c r="C735" s="21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209"/>
      <c r="B736" s="210"/>
      <c r="C736" s="211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209"/>
      <c r="B737" s="210"/>
      <c r="C737" s="211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209"/>
      <c r="B738" s="210"/>
      <c r="C738" s="211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209"/>
      <c r="B739" s="210"/>
      <c r="C739" s="21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209"/>
      <c r="B740" s="210"/>
      <c r="C740" s="211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209"/>
      <c r="B741" s="210"/>
      <c r="C741" s="211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209"/>
      <c r="B742" s="210"/>
      <c r="C742" s="211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209"/>
      <c r="B743" s="210"/>
      <c r="C743" s="21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209"/>
      <c r="B744" s="210"/>
      <c r="C744" s="211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209"/>
      <c r="B745" s="210"/>
      <c r="C745" s="211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209"/>
      <c r="B746" s="210"/>
      <c r="C746" s="211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209"/>
      <c r="B747" s="210"/>
      <c r="C747" s="21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209"/>
      <c r="B748" s="210"/>
      <c r="C748" s="211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209"/>
      <c r="B749" s="210"/>
      <c r="C749" s="211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209"/>
      <c r="B750" s="210"/>
      <c r="C750" s="211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209"/>
      <c r="B751" s="210"/>
      <c r="C751" s="21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209"/>
      <c r="B752" s="210"/>
      <c r="C752" s="211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209"/>
      <c r="B753" s="210"/>
      <c r="C753" s="211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209"/>
      <c r="B754" s="210"/>
      <c r="C754" s="211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209"/>
      <c r="B755" s="210"/>
      <c r="C755" s="21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209"/>
      <c r="B756" s="210"/>
      <c r="C756" s="211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209"/>
      <c r="B757" s="210"/>
      <c r="C757" s="211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209"/>
      <c r="B758" s="210"/>
      <c r="C758" s="211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209"/>
      <c r="B759" s="210"/>
      <c r="C759" s="21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209"/>
      <c r="B760" s="210"/>
      <c r="C760" s="211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209"/>
      <c r="B761" s="210"/>
      <c r="C761" s="211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209"/>
      <c r="B762" s="210"/>
      <c r="C762" s="211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209"/>
      <c r="B763" s="210"/>
      <c r="C763" s="21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209"/>
      <c r="B764" s="210"/>
      <c r="C764" s="211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209"/>
      <c r="B765" s="210"/>
      <c r="C765" s="211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209"/>
      <c r="B766" s="210"/>
      <c r="C766" s="211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209"/>
      <c r="B767" s="210"/>
      <c r="C767" s="21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209"/>
      <c r="B768" s="210"/>
      <c r="C768" s="211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209"/>
      <c r="B769" s="210"/>
      <c r="C769" s="211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209"/>
      <c r="B770" s="210"/>
      <c r="C770" s="211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209"/>
      <c r="B771" s="210"/>
      <c r="C771" s="21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209"/>
      <c r="B772" s="210"/>
      <c r="C772" s="211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209"/>
      <c r="B773" s="210"/>
      <c r="C773" s="211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5" max="5" width="27.0"/>
  </cols>
  <sheetData>
    <row r="1">
      <c r="A1" s="108"/>
      <c r="B1" s="108"/>
      <c r="C1" s="108"/>
      <c r="D1" s="108"/>
      <c r="E1" s="108"/>
      <c r="F1" s="108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>
      <c r="A2" s="222"/>
      <c r="B2" s="223">
        <v>2021.0</v>
      </c>
      <c r="C2" s="223">
        <v>2022.0</v>
      </c>
      <c r="D2" s="224">
        <v>2023.0</v>
      </c>
      <c r="E2" s="45"/>
      <c r="F2" s="222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>
      <c r="A3" s="222" t="s">
        <v>160</v>
      </c>
      <c r="B3" s="225">
        <v>1.33728E8</v>
      </c>
      <c r="C3" s="225">
        <v>1.23167E8</v>
      </c>
      <c r="D3" s="225">
        <v>2931000.0</v>
      </c>
      <c r="E3" s="45"/>
      <c r="F3" s="222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>
      <c r="A4" s="222" t="s">
        <v>161</v>
      </c>
      <c r="B4" s="225">
        <v>-1.08052E8</v>
      </c>
      <c r="C4" s="225">
        <v>2.77925E8</v>
      </c>
      <c r="D4" s="225">
        <v>-6.9157E7</v>
      </c>
      <c r="E4" s="45"/>
      <c r="F4" s="222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>
      <c r="A5" s="226" t="s">
        <v>162</v>
      </c>
      <c r="B5" s="227">
        <f t="shared" ref="B5:D5" si="1">B3+B4</f>
        <v>25676000</v>
      </c>
      <c r="C5" s="227">
        <f t="shared" si="1"/>
        <v>401092000</v>
      </c>
      <c r="D5" s="227">
        <f t="shared" si="1"/>
        <v>-66226000</v>
      </c>
      <c r="E5" s="54" t="s">
        <v>163</v>
      </c>
      <c r="F5" s="228">
        <f>AVERAGE(B5:D5)</f>
        <v>120180666.7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6">
      <c r="A6" s="222"/>
      <c r="B6" s="229"/>
      <c r="C6" s="229"/>
      <c r="D6" s="229"/>
      <c r="E6" s="54" t="s">
        <v>164</v>
      </c>
      <c r="F6" s="230">
        <v>0.064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</row>
    <row r="7">
      <c r="A7" s="226" t="s">
        <v>165</v>
      </c>
      <c r="B7" s="223">
        <v>2024.0</v>
      </c>
      <c r="C7" s="223">
        <v>2025.0</v>
      </c>
      <c r="D7" s="223">
        <v>2026.0</v>
      </c>
      <c r="E7" s="45"/>
      <c r="F7" s="222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>
      <c r="A8" s="222"/>
      <c r="B8" s="231">
        <f>F5/(1+F6)</f>
        <v>112951754.4</v>
      </c>
      <c r="C8" s="231">
        <f>F5/((1+F6)^2)</f>
        <v>106157663.9</v>
      </c>
      <c r="D8" s="231">
        <f>F5/((1+F6)^3)</f>
        <v>99772240.5</v>
      </c>
      <c r="E8" s="45"/>
      <c r="F8" s="222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>
      <c r="A9" s="222"/>
      <c r="B9" s="232"/>
      <c r="C9" s="222"/>
      <c r="D9" s="222"/>
      <c r="E9" s="233"/>
      <c r="F9" s="23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>
      <c r="A10" s="235" t="s">
        <v>166</v>
      </c>
      <c r="B10" s="236">
        <f>B8+C8+D8</f>
        <v>318881658.8</v>
      </c>
      <c r="C10" s="1"/>
      <c r="D10" s="1"/>
      <c r="E10" s="108"/>
      <c r="F10" s="1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7" max="7" width="27.13"/>
  </cols>
  <sheetData>
    <row r="1">
      <c r="A1" s="233"/>
      <c r="B1" s="237"/>
      <c r="C1" s="237"/>
      <c r="D1" s="237"/>
    </row>
    <row r="2">
      <c r="A2" s="234"/>
      <c r="B2" s="238" t="s">
        <v>167</v>
      </c>
      <c r="C2" s="239">
        <v>0.25</v>
      </c>
      <c r="D2" s="240"/>
    </row>
    <row r="3">
      <c r="A3" s="234"/>
      <c r="B3" s="238" t="s">
        <v>168</v>
      </c>
      <c r="C3" s="239">
        <v>0.29</v>
      </c>
      <c r="D3" s="240"/>
    </row>
    <row r="4">
      <c r="A4" s="234"/>
      <c r="B4" s="238" t="s">
        <v>169</v>
      </c>
      <c r="C4" s="239">
        <v>0.33</v>
      </c>
      <c r="D4" s="240"/>
    </row>
    <row r="5">
      <c r="A5" s="234"/>
      <c r="B5" s="241"/>
      <c r="C5" s="242"/>
      <c r="D5" s="234"/>
    </row>
    <row r="6">
      <c r="A6" s="234"/>
      <c r="B6" s="238" t="s">
        <v>170</v>
      </c>
      <c r="C6" s="243">
        <f>SQRT(C4/C2)-1</f>
        <v>0.1489125293</v>
      </c>
      <c r="D6" s="240"/>
    </row>
    <row r="7">
      <c r="A7" s="234"/>
      <c r="B7" s="241"/>
      <c r="C7" s="244"/>
      <c r="D7" s="234"/>
    </row>
    <row r="8">
      <c r="A8" s="234"/>
      <c r="B8" s="245" t="s">
        <v>171</v>
      </c>
      <c r="C8" s="246">
        <v>0.17</v>
      </c>
      <c r="D8" s="247"/>
    </row>
    <row r="9">
      <c r="A9" s="233"/>
      <c r="B9" s="237"/>
      <c r="C9" s="237"/>
      <c r="D9" s="237"/>
    </row>
    <row r="10">
      <c r="A10" s="234"/>
      <c r="B10" s="248" t="s">
        <v>172</v>
      </c>
      <c r="C10" s="249">
        <f>C3/(C8-C6)</f>
        <v>13.75224199</v>
      </c>
      <c r="D10" s="247"/>
    </row>
    <row r="11">
      <c r="A11" s="233"/>
      <c r="B11" s="237"/>
      <c r="C11" s="237"/>
      <c r="D11" s="237"/>
    </row>
    <row r="12">
      <c r="A12" s="234"/>
      <c r="B12" s="233" t="s">
        <v>173</v>
      </c>
      <c r="C12" s="250">
        <v>609569.0</v>
      </c>
      <c r="D12" s="240"/>
    </row>
    <row r="13">
      <c r="A13" s="234"/>
      <c r="B13" s="251" t="s">
        <v>166</v>
      </c>
      <c r="C13" s="252">
        <f>C10*C12</f>
        <v>8382940.4</v>
      </c>
      <c r="D13" s="247"/>
    </row>
    <row r="14">
      <c r="A14" s="233"/>
      <c r="B14" s="233"/>
      <c r="C14" s="233"/>
      <c r="D14" s="233"/>
    </row>
    <row r="16">
      <c r="G16" s="253" t="s">
        <v>174</v>
      </c>
    </row>
  </sheetData>
  <mergeCells count="8">
    <mergeCell ref="C2:D2"/>
    <mergeCell ref="C3:D3"/>
    <mergeCell ref="C4:D4"/>
    <mergeCell ref="C6:D6"/>
    <mergeCell ref="C8:D8"/>
    <mergeCell ref="C10:D10"/>
    <mergeCell ref="C12:D12"/>
    <mergeCell ref="C13:D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3" max="3" width="47.5"/>
    <col customWidth="1" min="4" max="4" width="42.25"/>
    <col customWidth="1" min="7" max="7" width="25.13"/>
  </cols>
  <sheetData>
    <row r="1">
      <c r="A1" s="254" t="s">
        <v>175</v>
      </c>
      <c r="B1" s="45"/>
      <c r="C1" s="45"/>
      <c r="D1" s="45"/>
      <c r="E1" s="45"/>
      <c r="F1" s="45"/>
      <c r="G1" s="45"/>
      <c r="H1" s="45"/>
    </row>
    <row r="2">
      <c r="A2" s="45"/>
      <c r="B2" s="108"/>
      <c r="C2" s="108"/>
      <c r="D2" s="108"/>
      <c r="E2" s="108"/>
      <c r="F2" s="108"/>
      <c r="G2" s="222"/>
      <c r="H2" s="255"/>
    </row>
    <row r="3">
      <c r="A3" s="1"/>
      <c r="B3" s="256">
        <v>2019.0</v>
      </c>
      <c r="C3" s="256">
        <v>2020.0</v>
      </c>
      <c r="D3" s="256">
        <v>2021.0</v>
      </c>
      <c r="E3" s="256">
        <v>2022.0</v>
      </c>
      <c r="F3" s="257">
        <v>2023.0</v>
      </c>
      <c r="G3" s="222"/>
      <c r="H3" s="45"/>
    </row>
    <row r="4">
      <c r="A4" s="258" t="s">
        <v>176</v>
      </c>
      <c r="B4" s="259">
        <v>-2598.0</v>
      </c>
      <c r="C4" s="260">
        <v>-2612.0</v>
      </c>
      <c r="D4" s="53">
        <f>Ratios!B19</f>
        <v>-2031</v>
      </c>
      <c r="E4" s="53">
        <f>Ratios!C19</f>
        <v>-2120</v>
      </c>
      <c r="F4" s="231">
        <f>Ratios!D19</f>
        <v>-1462</v>
      </c>
      <c r="G4" s="45"/>
      <c r="H4" s="45"/>
    </row>
    <row r="5">
      <c r="A5" s="261" t="s">
        <v>177</v>
      </c>
      <c r="B5" s="60">
        <f>57098+481881+527614+627426+324163+4392+11883</f>
        <v>2034457</v>
      </c>
      <c r="C5" s="60">
        <f>58478+483183+523618+627128+311075+9004+8336</f>
        <v>2020822</v>
      </c>
      <c r="D5" s="262">
        <f>'Question 5 Bilan'!F11+'Question 5 Bilan'!F12+'Question 5 Bilan'!F14+'Question 5 Bilan'!F29+'Question 5 Bilan'!F31+'Question 5 Bilan'!F32+'Question 5 Bilan'!F33</f>
        <v>2072009</v>
      </c>
      <c r="E5" s="262">
        <f>'Question 5 Bilan'!E11+'Question 5 Bilan'!E12+'Question 5 Bilan'!E14+'Question 5 Bilan'!E29+'Question 5 Bilan'!E31+'Question 5 Bilan'!E32+'Question 5 Bilan'!E33</f>
        <v>1797510</v>
      </c>
      <c r="F5" s="262">
        <f>'Question 5 Bilan'!D11+'Question 5 Bilan'!D12+'Question 5 Bilan'!D14+'Question 5 Bilan'!D29+'Question 5 Bilan'!D31+'Question 5 Bilan'!D32+'Question 5 Bilan'!D33</f>
        <v>1795628</v>
      </c>
      <c r="G5" s="45"/>
      <c r="H5" s="45"/>
    </row>
    <row r="6">
      <c r="A6" s="263" t="s">
        <v>178</v>
      </c>
      <c r="B6" s="108"/>
      <c r="C6" s="264">
        <f t="shared" ref="C6:F6" si="1">C4-$C9*B5</f>
        <v>-59780.2417</v>
      </c>
      <c r="D6" s="265">
        <f t="shared" si="1"/>
        <v>-58816.0982</v>
      </c>
      <c r="E6" s="265">
        <f t="shared" si="1"/>
        <v>-60343.4529</v>
      </c>
      <c r="F6" s="236">
        <f t="shared" si="1"/>
        <v>-51972.031</v>
      </c>
      <c r="G6" s="45"/>
      <c r="H6" s="45"/>
    </row>
    <row r="8">
      <c r="A8" s="48"/>
      <c r="B8" s="266"/>
      <c r="C8" s="266"/>
      <c r="D8" s="48"/>
    </row>
    <row r="9">
      <c r="A9" s="267"/>
      <c r="B9" s="1" t="s">
        <v>179</v>
      </c>
      <c r="C9" s="268">
        <v>0.0281</v>
      </c>
      <c r="D9" s="48"/>
    </row>
    <row r="10" ht="33.0" customHeight="1">
      <c r="A10" s="269"/>
      <c r="B10" s="270" t="s">
        <v>180</v>
      </c>
      <c r="C10" s="271">
        <f>Ratios!D4</f>
        <v>774456</v>
      </c>
      <c r="D10" s="48"/>
    </row>
    <row r="11" ht="30.75" customHeight="1">
      <c r="A11" s="272"/>
      <c r="B11" s="48"/>
      <c r="C11" s="48"/>
      <c r="D11" s="48"/>
    </row>
    <row r="12" ht="21.75" customHeight="1"/>
    <row r="13" ht="21.75" customHeight="1"/>
    <row r="14" ht="21.75" customHeight="1"/>
    <row r="15" ht="21.75" customHeight="1"/>
    <row r="16" ht="21.75" customHeight="1"/>
    <row r="18">
      <c r="A18" s="273" t="s">
        <v>181</v>
      </c>
      <c r="B18" s="274" t="s">
        <v>182</v>
      </c>
      <c r="C18" s="275" t="s">
        <v>183</v>
      </c>
      <c r="D18" s="45"/>
      <c r="E18" s="45"/>
      <c r="F18" s="45"/>
    </row>
    <row r="19">
      <c r="A19" s="276"/>
      <c r="B19" s="257">
        <v>1148000.0</v>
      </c>
      <c r="C19" s="257">
        <v>-0.3769</v>
      </c>
      <c r="D19" s="45"/>
      <c r="E19" s="45"/>
      <c r="F19" s="45"/>
    </row>
    <row r="20">
      <c r="A20" s="108"/>
      <c r="B20" s="108"/>
      <c r="C20" s="108"/>
      <c r="D20" s="108"/>
      <c r="E20" s="45"/>
      <c r="F20" s="45"/>
    </row>
    <row r="21">
      <c r="A21" s="277" t="s">
        <v>184</v>
      </c>
      <c r="B21" s="278" t="s">
        <v>182</v>
      </c>
      <c r="C21" s="279" t="s">
        <v>185</v>
      </c>
      <c r="D21" s="279" t="s">
        <v>186</v>
      </c>
      <c r="E21" s="45"/>
      <c r="F21" s="45"/>
    </row>
    <row r="22">
      <c r="A22" s="276"/>
      <c r="B22" s="257">
        <v>-357200.0</v>
      </c>
      <c r="C22" s="257">
        <v>-5.464</v>
      </c>
      <c r="D22" s="257">
        <v>-0.01363</v>
      </c>
      <c r="E22" s="45"/>
      <c r="F22" s="45"/>
    </row>
    <row r="23">
      <c r="A23" s="45"/>
      <c r="B23" s="45"/>
      <c r="C23" s="45"/>
      <c r="D23" s="45"/>
      <c r="E23" s="45"/>
      <c r="F23" s="45"/>
    </row>
    <row r="24">
      <c r="B24" s="45"/>
      <c r="C24" s="45"/>
      <c r="D24" s="45"/>
      <c r="E24" s="45"/>
      <c r="F24" s="45"/>
    </row>
    <row r="25">
      <c r="A25" s="45"/>
      <c r="B25" s="45"/>
      <c r="C25" s="45"/>
      <c r="D25" s="45"/>
      <c r="E25" s="45"/>
      <c r="F25" s="45"/>
    </row>
    <row r="26">
      <c r="A26" s="45"/>
      <c r="B26" s="45"/>
      <c r="C26" s="45"/>
      <c r="D26" s="45"/>
      <c r="E26" s="45"/>
      <c r="F26" s="45"/>
    </row>
    <row r="27">
      <c r="A27" s="45"/>
      <c r="B27" s="45"/>
      <c r="C27" s="45"/>
      <c r="D27" s="45"/>
      <c r="E27" s="45"/>
      <c r="F27" s="45"/>
    </row>
    <row r="28">
      <c r="A28" s="45"/>
      <c r="B28" s="45"/>
      <c r="C28" s="45"/>
      <c r="D28" s="45"/>
      <c r="E28" s="45"/>
      <c r="F28" s="45"/>
    </row>
    <row r="29">
      <c r="A29" s="45"/>
      <c r="B29" s="45"/>
      <c r="C29" s="45"/>
      <c r="D29" s="45"/>
      <c r="E29" s="45"/>
      <c r="F29" s="45"/>
    </row>
    <row r="30">
      <c r="A30" s="54" t="s">
        <v>187</v>
      </c>
      <c r="B30" s="45"/>
      <c r="C30" s="45"/>
      <c r="D30" s="108"/>
      <c r="E30" s="108"/>
      <c r="F30" s="45"/>
      <c r="G30" s="45"/>
      <c r="H30" s="45"/>
      <c r="I30" s="45"/>
      <c r="J30" s="45"/>
      <c r="K30" s="45"/>
      <c r="L30" s="45"/>
      <c r="M30" s="45"/>
    </row>
    <row r="31">
      <c r="A31" s="45"/>
      <c r="B31" s="108"/>
      <c r="C31" s="1"/>
      <c r="D31" s="280" t="s">
        <v>188</v>
      </c>
      <c r="E31" s="281" t="s">
        <v>189</v>
      </c>
      <c r="F31" s="45"/>
      <c r="G31" s="52"/>
      <c r="H31" s="45"/>
      <c r="I31" s="45"/>
      <c r="J31" s="45"/>
      <c r="K31" s="45"/>
      <c r="L31" s="45"/>
      <c r="M31" s="45"/>
    </row>
    <row r="32">
      <c r="A32" s="222"/>
      <c r="B32" s="282" t="s">
        <v>190</v>
      </c>
      <c r="C32" s="283"/>
      <c r="D32" s="284" t="s">
        <v>191</v>
      </c>
      <c r="E32" s="285">
        <v>-0.03054</v>
      </c>
      <c r="F32" s="45"/>
      <c r="G32" s="45"/>
      <c r="H32" s="45"/>
      <c r="I32" s="45"/>
      <c r="J32" s="45"/>
      <c r="K32" s="45"/>
      <c r="L32" s="45"/>
      <c r="M32" s="45"/>
    </row>
    <row r="33">
      <c r="A33" s="222"/>
      <c r="B33" s="286" t="s">
        <v>192</v>
      </c>
      <c r="C33" s="1"/>
      <c r="D33" s="284" t="s">
        <v>193</v>
      </c>
      <c r="E33" s="257" t="s">
        <v>194</v>
      </c>
      <c r="F33" s="45"/>
      <c r="G33" s="45"/>
      <c r="H33" s="45"/>
      <c r="I33" s="45"/>
      <c r="J33" s="45"/>
      <c r="K33" s="45"/>
      <c r="L33" s="45"/>
      <c r="M33" s="45"/>
    </row>
    <row r="34">
      <c r="A34" s="45"/>
      <c r="B34" s="45"/>
      <c r="C34" s="45"/>
      <c r="D34" s="45"/>
      <c r="E34" s="45"/>
      <c r="F34" s="45"/>
      <c r="G34" s="52"/>
      <c r="H34" s="45"/>
      <c r="I34" s="45"/>
      <c r="J34" s="45"/>
      <c r="K34" s="45"/>
      <c r="L34" s="45"/>
      <c r="M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>
      <c r="A38" s="45"/>
      <c r="B38" s="45"/>
      <c r="C38" s="45"/>
      <c r="D38" s="287" t="s">
        <v>195</v>
      </c>
      <c r="E38" s="52" t="s">
        <v>196</v>
      </c>
      <c r="F38" s="45"/>
      <c r="G38" s="45"/>
      <c r="H38" s="45"/>
      <c r="I38" s="45"/>
      <c r="J38" s="45"/>
      <c r="K38" s="45"/>
      <c r="L38" s="45"/>
      <c r="M38" s="45"/>
    </row>
    <row r="39">
      <c r="A39" s="45"/>
      <c r="B39" s="45"/>
      <c r="C39" s="45"/>
      <c r="D39" s="45"/>
      <c r="E39" s="67">
        <f>C10+C6+(1/(1+C9))*D6+(1/((1+C9)^2))*E6+(1/((1+C9)^3))*F6</f>
        <v>552551.3488</v>
      </c>
      <c r="F39" s="45"/>
      <c r="G39" s="45"/>
      <c r="H39" s="45"/>
      <c r="I39" s="45"/>
      <c r="J39" s="45"/>
      <c r="K39" s="45"/>
      <c r="L39" s="45"/>
      <c r="M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</row>
    <row r="42">
      <c r="A42" s="54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</row>
    <row r="43">
      <c r="A43" s="5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  <row r="44">
      <c r="A44" s="54" t="s">
        <v>197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</row>
    <row r="45">
      <c r="A45" s="45"/>
      <c r="B45" s="108"/>
      <c r="C45" s="288" t="s">
        <v>198</v>
      </c>
      <c r="D45" s="288" t="s">
        <v>199</v>
      </c>
      <c r="E45" s="45"/>
      <c r="F45" s="45"/>
      <c r="G45" s="45"/>
      <c r="H45" s="45"/>
      <c r="I45" s="45"/>
      <c r="J45" s="45"/>
      <c r="K45" s="45"/>
      <c r="L45" s="45"/>
      <c r="M45" s="45"/>
    </row>
    <row r="46">
      <c r="A46" s="222"/>
      <c r="B46" s="60">
        <v>0.0</v>
      </c>
      <c r="C46" s="60">
        <f>'Question 7 Gordon Shapiro'!C2</f>
        <v>0.25</v>
      </c>
      <c r="D46" s="262">
        <f t="shared" ref="D46:D56" si="2">C46/((1+C$9)^C46)</f>
        <v>0.2482739586</v>
      </c>
      <c r="E46" s="45"/>
      <c r="F46" s="45"/>
      <c r="G46" s="45"/>
      <c r="H46" s="45"/>
      <c r="I46" s="45"/>
      <c r="J46" s="45"/>
      <c r="K46" s="45"/>
      <c r="L46" s="45"/>
      <c r="M46" s="45"/>
    </row>
    <row r="47">
      <c r="A47" s="222"/>
      <c r="B47" s="60">
        <v>1.0</v>
      </c>
      <c r="C47" s="60">
        <f>C46*(1+'Question 7 Gordon Shapiro'!C$6)</f>
        <v>0.2872281323</v>
      </c>
      <c r="D47" s="262">
        <f t="shared" si="2"/>
        <v>0.2849509312</v>
      </c>
      <c r="E47" s="45"/>
      <c r="F47" s="45"/>
      <c r="G47" s="45"/>
      <c r="H47" s="45"/>
      <c r="I47" s="45"/>
      <c r="J47" s="45"/>
      <c r="K47" s="45"/>
      <c r="L47" s="45"/>
      <c r="M47" s="45"/>
    </row>
    <row r="48">
      <c r="A48" s="222"/>
      <c r="B48" s="60">
        <v>2.0</v>
      </c>
      <c r="C48" s="60">
        <f>C47*(1+'Question 7 Gordon Shapiro'!C$6)</f>
        <v>0.33</v>
      </c>
      <c r="D48" s="262">
        <f t="shared" si="2"/>
        <v>0.3269958729</v>
      </c>
      <c r="E48" s="45"/>
      <c r="F48" s="45"/>
      <c r="G48" s="45"/>
      <c r="H48" s="45"/>
      <c r="I48" s="45"/>
      <c r="J48" s="45"/>
      <c r="K48" s="45"/>
      <c r="L48" s="45"/>
      <c r="M48" s="45"/>
    </row>
    <row r="49">
      <c r="A49" s="222"/>
      <c r="B49" s="60">
        <v>3.0</v>
      </c>
      <c r="C49" s="60">
        <f>C48*(1+'Question 7 Gordon Shapiro'!C$6)</f>
        <v>0.3791411347</v>
      </c>
      <c r="D49" s="262">
        <f t="shared" si="2"/>
        <v>0.3751783817</v>
      </c>
      <c r="E49" s="45"/>
      <c r="F49" s="45"/>
      <c r="G49" s="45"/>
      <c r="H49" s="45"/>
      <c r="I49" s="45"/>
      <c r="J49" s="45"/>
      <c r="K49" s="45"/>
      <c r="L49" s="45"/>
      <c r="M49" s="45"/>
    </row>
    <row r="50">
      <c r="A50" s="222"/>
      <c r="B50" s="60">
        <v>4.0</v>
      </c>
      <c r="C50" s="60">
        <f>C49*(1+'Question 7 Gordon Shapiro'!C$6)</f>
        <v>0.4356</v>
      </c>
      <c r="D50" s="262">
        <f t="shared" si="2"/>
        <v>0.4303732489</v>
      </c>
      <c r="E50" s="45"/>
      <c r="F50" s="45"/>
      <c r="G50" s="45"/>
      <c r="H50" s="45"/>
      <c r="I50" s="45"/>
      <c r="J50" s="45"/>
      <c r="K50" s="45"/>
      <c r="L50" s="45"/>
      <c r="M50" s="45"/>
    </row>
    <row r="51">
      <c r="A51" s="222"/>
      <c r="B51" s="60">
        <v>5.0</v>
      </c>
      <c r="C51" s="60">
        <f>C50*(1+'Question 7 Gordon Shapiro'!C$6)</f>
        <v>0.5004662978</v>
      </c>
      <c r="D51" s="262">
        <f t="shared" si="2"/>
        <v>0.4935731712</v>
      </c>
      <c r="E51" s="45"/>
      <c r="F51" s="45"/>
      <c r="G51" s="45"/>
      <c r="H51" s="45"/>
      <c r="I51" s="45"/>
      <c r="J51" s="45"/>
      <c r="K51" s="45"/>
      <c r="L51" s="45"/>
      <c r="M51" s="45"/>
    </row>
    <row r="52">
      <c r="A52" s="222"/>
      <c r="B52" s="60">
        <v>6.0</v>
      </c>
      <c r="C52" s="60">
        <f>C51*(1+'Question 7 Gordon Shapiro'!C$6)</f>
        <v>0.574992</v>
      </c>
      <c r="D52" s="262">
        <f t="shared" si="2"/>
        <v>0.5659024408</v>
      </c>
      <c r="E52" s="45"/>
      <c r="F52" s="108"/>
      <c r="G52" s="108"/>
      <c r="H52" s="45"/>
      <c r="I52" s="45"/>
      <c r="J52" s="45"/>
      <c r="K52" s="45"/>
      <c r="L52" s="45"/>
      <c r="M52" s="45"/>
    </row>
    <row r="53">
      <c r="A53" s="222"/>
      <c r="B53" s="60">
        <v>7.0</v>
      </c>
      <c r="C53" s="60">
        <f>C52*(1+'Question 7 Gordon Shapiro'!C$6)</f>
        <v>0.6606155131</v>
      </c>
      <c r="D53" s="262">
        <f t="shared" si="2"/>
        <v>0.6486314807</v>
      </c>
      <c r="E53" s="45"/>
      <c r="F53" s="288" t="s">
        <v>200</v>
      </c>
      <c r="G53" s="289">
        <f>SUM(D46:D51)</f>
        <v>2.159345564</v>
      </c>
      <c r="H53" s="45"/>
      <c r="I53" s="45"/>
      <c r="J53" s="45"/>
      <c r="K53" s="45"/>
      <c r="L53" s="45"/>
      <c r="M53" s="45"/>
    </row>
    <row r="54">
      <c r="A54" s="222"/>
      <c r="B54" s="60">
        <v>8.0</v>
      </c>
      <c r="C54" s="60">
        <f>C53*(1+'Question 7 Gordon Shapiro'!C$6)</f>
        <v>0.75898944</v>
      </c>
      <c r="D54" s="262">
        <f t="shared" si="2"/>
        <v>0.7431919947</v>
      </c>
      <c r="E54" s="45"/>
      <c r="F54" s="45"/>
      <c r="G54" s="45"/>
      <c r="H54" s="45"/>
      <c r="I54" s="45"/>
      <c r="J54" s="45"/>
      <c r="K54" s="45"/>
      <c r="L54" s="45"/>
      <c r="M54" s="45"/>
    </row>
    <row r="55">
      <c r="A55" s="222"/>
      <c r="B55" s="60">
        <v>9.0</v>
      </c>
      <c r="C55" s="60">
        <f>C54*(1+'Question 7 Gordon Shapiro'!C$6)</f>
        <v>0.8720124772</v>
      </c>
      <c r="D55" s="262">
        <f t="shared" si="2"/>
        <v>0.8511923578</v>
      </c>
      <c r="E55" s="45"/>
      <c r="F55" s="108"/>
      <c r="G55" s="108"/>
      <c r="H55" s="45"/>
      <c r="I55" s="45"/>
      <c r="J55" s="45"/>
      <c r="K55" s="45"/>
      <c r="L55" s="45"/>
      <c r="M55" s="45"/>
    </row>
    <row r="56">
      <c r="A56" s="222"/>
      <c r="B56" s="60">
        <v>10.0</v>
      </c>
      <c r="C56" s="60">
        <f>C55*(1+'Question 7 Gordon Shapiro'!C$6)</f>
        <v>1.001866061</v>
      </c>
      <c r="D56" s="262">
        <f t="shared" si="2"/>
        <v>0.9744326938</v>
      </c>
      <c r="E56" s="222"/>
      <c r="F56" s="290" t="s">
        <v>201</v>
      </c>
      <c r="G56" s="289">
        <f>SUM(D46:D56)</f>
        <v>5.942696532</v>
      </c>
      <c r="H56" s="45"/>
      <c r="I56" s="45"/>
      <c r="J56" s="45"/>
      <c r="K56" s="45"/>
      <c r="L56" s="45"/>
      <c r="M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</row>
  </sheetData>
  <drawing r:id="rId1"/>
</worksheet>
</file>